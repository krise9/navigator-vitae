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lockWindows="false"/>
  <bookViews>
    <workbookView showHorizontalScroll="true" showVerticalScroll="true" showSheetTabs="true" xWindow="0" yWindow="0" windowWidth="16384" windowHeight="8192" tabRatio="500" firstSheet="0" activeTab="0"/>
  </bookViews>
  <sheets>
    <sheet name="Man" sheetId="1" state="visible" r:id="rId3"/>
    <sheet name="Samenvatting"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<sst xmlns="http://schemas.openxmlformats.org/spreadsheetml/2006/main" count="598" uniqueCount="476">
  <si>
    <t xml:space="preserve">Deel I. Welk antwoord verwoordt het best hoe u zich meestal voelt of gedraagt ?</t>
  </si>
  <si>
    <t xml:space="preserve">Kruis het vierkantje aan naast het alternatief dat u verkiest.</t>
  </si>
  <si>
    <t xml:space="preserve">1.</t>
  </si>
  <si>
    <t xml:space="preserve">Bent u doorgaans</t>
  </si>
  <si>
    <t xml:space="preserve">11.</t>
  </si>
  <si>
    <t xml:space="preserve">Als u in een groep bent, zult u meestal liever</t>
  </si>
  <si>
    <t xml:space="preserve">20. </t>
  </si>
  <si>
    <t xml:space="preserve">In een grote groep zal u vaker</t>
  </si>
  <si>
    <t xml:space="preserve">E</t>
  </si>
  <si>
    <t xml:space="preserve">I</t>
  </si>
  <si>
    <t xml:space="preserve">S</t>
  </si>
  <si>
    <t xml:space="preserve">N</t>
  </si>
  <si>
    <t xml:space="preserve">T</t>
  </si>
  <si>
    <t xml:space="preserve">F</t>
  </si>
  <si>
    <t xml:space="preserve">J</t>
  </si>
  <si>
    <t xml:space="preserve">P</t>
  </si>
  <si>
    <t xml:space="preserve">zeer contactvaardig</t>
  </si>
  <si>
    <t xml:space="preserve">deelnemen aan het groepsgesprek</t>
  </si>
  <si>
    <t xml:space="preserve">anderen voorstellen</t>
  </si>
  <si>
    <t xml:space="preserve">E :</t>
  </si>
  <si>
    <t xml:space="preserve">of</t>
  </si>
  <si>
    <t xml:space="preserve">eerder stil en terughoudend ?</t>
  </si>
  <si>
    <t xml:space="preserve">met één persoon terzelfdertijd praten ?</t>
  </si>
  <si>
    <t xml:space="preserve">voorgesteld worden ?</t>
  </si>
  <si>
    <t xml:space="preserve">I : </t>
  </si>
  <si>
    <t xml:space="preserve">2.</t>
  </si>
  <si>
    <t xml:space="preserve">Als u een leraar zou zijn, zou u dan liever</t>
  </si>
  <si>
    <t xml:space="preserve">12. </t>
  </si>
  <si>
    <t xml:space="preserve">Hebt u meer bewondering voor mensen</t>
  </si>
  <si>
    <t xml:space="preserve">21. </t>
  </si>
  <si>
    <t xml:space="preserve">Wordt u eerder beschouwd</t>
  </si>
  <si>
    <t xml:space="preserve">praktijkcursussen geven</t>
  </si>
  <si>
    <t xml:space="preserve">die zo gewoon zijn dat ze nooit opvallen</t>
  </si>
  <si>
    <t xml:space="preserve">als een praktisch ingesteld persoon</t>
  </si>
  <si>
    <t xml:space="preserve">S :</t>
  </si>
  <si>
    <t xml:space="preserve">theoretische cursussen geven ?</t>
  </si>
  <si>
    <t xml:space="preserve">die te origineel en bijzonder zijn om zich </t>
  </si>
  <si>
    <t xml:space="preserve">als een zeer vindingrijk persoon ?</t>
  </si>
  <si>
    <t xml:space="preserve">N :</t>
  </si>
  <si>
    <t xml:space="preserve">druk te maken of ze al dan niet opvallen ?</t>
  </si>
  <si>
    <t xml:space="preserve">3.</t>
  </si>
  <si>
    <t xml:space="preserve">Is het een mooier compliment om  </t>
  </si>
  <si>
    <t xml:space="preserve">13. </t>
  </si>
  <si>
    <t xml:space="preserve">U laat zich leiden</t>
  </si>
  <si>
    <t xml:space="preserve">22. </t>
  </si>
  <si>
    <t xml:space="preserve">Waardeert u meestal</t>
  </si>
  <si>
    <t xml:space="preserve">getypeerd te worden</t>
  </si>
  <si>
    <t xml:space="preserve">als een gevoelsmens</t>
  </si>
  <si>
    <t xml:space="preserve">door uw gevoelens, </t>
  </si>
  <si>
    <t xml:space="preserve">gevoelens meer dan logica</t>
  </si>
  <si>
    <t xml:space="preserve">F :</t>
  </si>
  <si>
    <t xml:space="preserve">eerder dan door uw verstand, of</t>
  </si>
  <si>
    <t xml:space="preserve">als een verstandig persoon ?</t>
  </si>
  <si>
    <t xml:space="preserve">door uw verstand, </t>
  </si>
  <si>
    <t xml:space="preserve">logica meer dan gevoelens ?</t>
  </si>
  <si>
    <t xml:space="preserve">T :</t>
  </si>
  <si>
    <t xml:space="preserve">eerder dan door uw gevoelens ?</t>
  </si>
  <si>
    <t xml:space="preserve">23. </t>
  </si>
  <si>
    <t xml:space="preserve">Als goed op voorhand geregeld is dat u  </t>
  </si>
  <si>
    <t xml:space="preserve">4.</t>
  </si>
  <si>
    <t xml:space="preserve">Als u een uitstapje maakt, zou u eerder</t>
  </si>
  <si>
    <t xml:space="preserve">14. </t>
  </si>
  <si>
    <t xml:space="preserve">Geeft u er de voorkeur aan</t>
  </si>
  <si>
    <t xml:space="preserve">bepaalde dingen zal doen op een bepaald </t>
  </si>
  <si>
    <t xml:space="preserve">ogenblik, dan vindt u dat</t>
  </si>
  <si>
    <t xml:space="preserve">plannen wat u zal doen en wanneer</t>
  </si>
  <si>
    <t xml:space="preserve">afspraakjes, feestjes enz. </t>
  </si>
  <si>
    <t xml:space="preserve">leuk omdat u zo een aangepaste planning </t>
  </si>
  <si>
    <t xml:space="preserve">J :</t>
  </si>
  <si>
    <t xml:space="preserve">goed op voorhand vast te leggen, of</t>
  </si>
  <si>
    <t xml:space="preserve">kan maken, of</t>
  </si>
  <si>
    <t xml:space="preserve">gewoon vertrekken ?</t>
  </si>
  <si>
    <t xml:space="preserve">vrij te zijn om te doen wat plezierig lijkt </t>
  </si>
  <si>
    <t xml:space="preserve">een beetje onplezierig om gebonden te zijn ?</t>
  </si>
  <si>
    <t xml:space="preserve">P :</t>
  </si>
  <si>
    <t xml:space="preserve">als de gelegenheid zich voordoet ?</t>
  </si>
  <si>
    <t xml:space="preserve">5.</t>
  </si>
  <si>
    <t xml:space="preserve">Heeft u</t>
  </si>
  <si>
    <t xml:space="preserve">15. </t>
  </si>
  <si>
    <t xml:space="preserve">Binnen uw vriendenkring bent u</t>
  </si>
  <si>
    <t xml:space="preserve">24. </t>
  </si>
  <si>
    <t xml:space="preserve">Praat u zonder moeite</t>
  </si>
  <si>
    <t xml:space="preserve">een hechte vriendschap met een </t>
  </si>
  <si>
    <t xml:space="preserve">één van de laatsten die hoort </t>
  </si>
  <si>
    <t xml:space="preserve">enkel met bepaalde personen of in </t>
  </si>
  <si>
    <t xml:space="preserve">I :</t>
  </si>
  <si>
    <t xml:space="preserve">zeer kleine groep mensen, of</t>
  </si>
  <si>
    <t xml:space="preserve">wat er gebeurt, of</t>
  </si>
  <si>
    <t xml:space="preserve">specifieke omstandigheden, of</t>
  </si>
  <si>
    <t xml:space="preserve">een uitgebreide vriendenkring ?</t>
  </si>
  <si>
    <t xml:space="preserve">iemand die alle nieuwtjes weet ?</t>
  </si>
  <si>
    <t xml:space="preserve">met om het even wie zolang als nodig is ?</t>
  </si>
  <si>
    <t xml:space="preserve">6. </t>
  </si>
  <si>
    <t xml:space="preserve">Een planning volgen</t>
  </si>
  <si>
    <t xml:space="preserve">16.</t>
  </si>
  <si>
    <t xml:space="preserve">Het idee om een lijst te maken van wat u</t>
  </si>
  <si>
    <t xml:space="preserve">25. </t>
  </si>
  <si>
    <t xml:space="preserve">Als u op zaterdagochtend zou gevraagd worden </t>
  </si>
  <si>
    <t xml:space="preserve">in het weekend moet doen</t>
  </si>
  <si>
    <t xml:space="preserve">wat u die dag zal doen, zou u</t>
  </si>
  <si>
    <t xml:space="preserve">trekt u aan</t>
  </si>
  <si>
    <t xml:space="preserve">dit vrij goed kunnen vertellen</t>
  </si>
  <si>
    <t xml:space="preserve">spreekt u niet aan ?</t>
  </si>
  <si>
    <t xml:space="preserve">laat u koud, of</t>
  </si>
  <si>
    <t xml:space="preserve">twee keer teveel zaken opnoemen, of</t>
  </si>
  <si>
    <t xml:space="preserve">ontmoedigt u beslist ?</t>
  </si>
  <si>
    <t xml:space="preserve">moeten afwachten en zien ?</t>
  </si>
  <si>
    <t xml:space="preserve">7. </t>
  </si>
  <si>
    <t xml:space="preserve">Schiet u meestal beter op met</t>
  </si>
  <si>
    <t xml:space="preserve">17. </t>
  </si>
  <si>
    <t xml:space="preserve">Als vriend kiest u eerder iemand</t>
  </si>
  <si>
    <t xml:space="preserve">26. </t>
  </si>
  <si>
    <t xml:space="preserve">Bij ontspannende literatuur, geniet u</t>
  </si>
  <si>
    <t xml:space="preserve">verbeeldingsrijke mensen</t>
  </si>
  <si>
    <t xml:space="preserve">die steeds met nieuwe ideeën komt</t>
  </si>
  <si>
    <t xml:space="preserve">van een ongewone en originele schrijfstijl</t>
  </si>
  <si>
    <t xml:space="preserve">realistische mensen ?</t>
  </si>
  <si>
    <t xml:space="preserve">die met twee voeten op de grond staat ?</t>
  </si>
  <si>
    <t xml:space="preserve">van schrijvers die precies zeggen</t>
  </si>
  <si>
    <t xml:space="preserve">wat ze bedoelen ?</t>
  </si>
  <si>
    <t xml:space="preserve">8. </t>
  </si>
  <si>
    <t xml:space="preserve">Heeft u het moeilijk om zich aan te passen</t>
  </si>
  <si>
    <t xml:space="preserve">18. </t>
  </si>
  <si>
    <t xml:space="preserve">Bent u meer succesvol</t>
  </si>
  <si>
    <t xml:space="preserve">27.</t>
  </si>
  <si>
    <t xml:space="preserve">Is het zo</t>
  </si>
  <si>
    <t xml:space="preserve">aan routine</t>
  </si>
  <si>
    <t xml:space="preserve">in het omgaan met het onverwachte en </t>
  </si>
  <si>
    <t xml:space="preserve">dat u er de voorkeur aan geeft dingen </t>
  </si>
  <si>
    <t xml:space="preserve">snel zien wat er gedaan moet worden, of</t>
  </si>
  <si>
    <t xml:space="preserve">op het laatste ogenblik te doen, of</t>
  </si>
  <si>
    <t xml:space="preserve">aan voortdurende verandering ?</t>
  </si>
  <si>
    <t xml:space="preserve">in het volgen van een zorgvuldig </t>
  </si>
  <si>
    <t xml:space="preserve">dat het regelen van zaken op het laatste </t>
  </si>
  <si>
    <t xml:space="preserve">uitgewerkt plan ?</t>
  </si>
  <si>
    <t xml:space="preserve">ogenblik u op de zenuwen werkt ?</t>
  </si>
  <si>
    <t xml:space="preserve">9.</t>
  </si>
  <si>
    <t xml:space="preserve">Denkt u dat de mensen in uw nabije  </t>
  </si>
  <si>
    <t xml:space="preserve">19. </t>
  </si>
  <si>
    <t xml:space="preserve">Wanneer u zich in een gênante positie bevindt,</t>
  </si>
  <si>
    <t xml:space="preserve">28. </t>
  </si>
  <si>
    <t xml:space="preserve">Vindt u het leuk op een feestje</t>
  </si>
  <si>
    <t xml:space="preserve">omgeving weten hoe u zich voelt</t>
  </si>
  <si>
    <t xml:space="preserve">over de meeste dingen</t>
  </si>
  <si>
    <t xml:space="preserve">geeft u er meestal een humoristische </t>
  </si>
  <si>
    <t xml:space="preserve">mee de sfeer te maken</t>
  </si>
  <si>
    <t xml:space="preserve">draai aan, of</t>
  </si>
  <si>
    <t xml:space="preserve">enkel als u een speciale reden had </t>
  </si>
  <si>
    <t xml:space="preserve">verandert u gewoonlijk van onderwerp, of</t>
  </si>
  <si>
    <t xml:space="preserve">anderen op hun manier plezier te laten </t>
  </si>
  <si>
    <t xml:space="preserve">om het hen te vertellen ?</t>
  </si>
  <si>
    <t xml:space="preserve">schiet u enkele dagen later te binnen </t>
  </si>
  <si>
    <t xml:space="preserve">maken ?</t>
  </si>
  <si>
    <t xml:space="preserve">wat u had moeten zeggen ?</t>
  </si>
  <si>
    <t xml:space="preserve">10.</t>
  </si>
  <si>
    <t xml:space="preserve">Bent u meer bezorgd</t>
  </si>
  <si>
    <t xml:space="preserve">om de rechten van iemand</t>
  </si>
  <si>
    <t xml:space="preserve">om de gevoelens van iemand ?</t>
  </si>
  <si>
    <t xml:space="preserve">Deel II. Welk van beide woorden spreekt u het meest aan ?</t>
  </si>
  <si>
    <t xml:space="preserve">Let op de inhoud van de woorden, niet op de schrijfwijze of klank.</t>
  </si>
  <si>
    <t xml:space="preserve">29. </t>
  </si>
  <si>
    <t xml:space="preserve">Maken </t>
  </si>
  <si>
    <t xml:space="preserve">35. </t>
  </si>
  <si>
    <t xml:space="preserve">Belevenis </t>
  </si>
  <si>
    <t xml:space="preserve">41. </t>
  </si>
  <si>
    <t xml:space="preserve">Productie </t>
  </si>
  <si>
    <t xml:space="preserve">47. </t>
  </si>
  <si>
    <t xml:space="preserve">Concreet</t>
  </si>
  <si>
    <t xml:space="preserve">Creëren</t>
  </si>
  <si>
    <t xml:space="preserve">Droom</t>
  </si>
  <si>
    <t xml:space="preserve">Ontwerp</t>
  </si>
  <si>
    <t xml:space="preserve">Globaal</t>
  </si>
  <si>
    <t xml:space="preserve">30. </t>
  </si>
  <si>
    <t xml:space="preserve">Nuttig </t>
  </si>
  <si>
    <t xml:space="preserve">36. </t>
  </si>
  <si>
    <t xml:space="preserve">Voorzichtigheid </t>
  </si>
  <si>
    <t xml:space="preserve">42. </t>
  </si>
  <si>
    <t xml:space="preserve">Verdragen </t>
  </si>
  <si>
    <t xml:space="preserve">48. </t>
  </si>
  <si>
    <t xml:space="preserve">Vastberaden </t>
  </si>
  <si>
    <t xml:space="preserve">Aanmoedigend</t>
  </si>
  <si>
    <t xml:space="preserve">Vertrouwen</t>
  </si>
  <si>
    <t xml:space="preserve">Kwijtschelden</t>
  </si>
  <si>
    <t xml:space="preserve">Vriendelijk</t>
  </si>
  <si>
    <t xml:space="preserve">31. </t>
  </si>
  <si>
    <t xml:space="preserve">Schematisch</t>
  </si>
  <si>
    <t xml:space="preserve">37. </t>
  </si>
  <si>
    <t xml:space="preserve">Systematisch</t>
  </si>
  <si>
    <t xml:space="preserve">43. </t>
  </si>
  <si>
    <t xml:space="preserve">49. </t>
  </si>
  <si>
    <t xml:space="preserve">Beslissing</t>
  </si>
  <si>
    <t xml:space="preserve">Ongepland</t>
  </si>
  <si>
    <t xml:space="preserve">Ongedwongen</t>
  </si>
  <si>
    <t xml:space="preserve"> Toevallig</t>
  </si>
  <si>
    <t xml:space="preserve">Opwelling</t>
  </si>
  <si>
    <t xml:space="preserve">32. </t>
  </si>
  <si>
    <t xml:space="preserve">Uitvinden</t>
  </si>
  <si>
    <t xml:space="preserve">38. </t>
  </si>
  <si>
    <t xml:space="preserve">Beeld </t>
  </si>
  <si>
    <t xml:space="preserve">44. </t>
  </si>
  <si>
    <t xml:space="preserve">Theorie </t>
  </si>
  <si>
    <t xml:space="preserve">50. </t>
  </si>
  <si>
    <t xml:space="preserve">Symbool </t>
  </si>
  <si>
    <t xml:space="preserve">Bouwen</t>
  </si>
  <si>
    <t xml:space="preserve">Grondslag</t>
  </si>
  <si>
    <t xml:space="preserve">Praktijk</t>
  </si>
  <si>
    <t xml:space="preserve">Beschrijving</t>
  </si>
  <si>
    <t xml:space="preserve">33. </t>
  </si>
  <si>
    <t xml:space="preserve">Begripsvol </t>
  </si>
  <si>
    <t xml:space="preserve">39. </t>
  </si>
  <si>
    <t xml:space="preserve">Mild </t>
  </si>
  <si>
    <t xml:space="preserve">45. </t>
  </si>
  <si>
    <t xml:space="preserve">Medeleven </t>
  </si>
  <si>
    <t xml:space="preserve">51. </t>
  </si>
  <si>
    <t xml:space="preserve">Vredelievend </t>
  </si>
  <si>
    <t xml:space="preserve">Kritisch</t>
  </si>
  <si>
    <t xml:space="preserve">Streng</t>
  </si>
  <si>
    <t xml:space="preserve">Voorzorg</t>
  </si>
  <si>
    <t xml:space="preserve">Rechtvaardig</t>
  </si>
  <si>
    <t xml:space="preserve">34. </t>
  </si>
  <si>
    <t xml:space="preserve">Spraakzaam </t>
  </si>
  <si>
    <t xml:space="preserve">40. </t>
  </si>
  <si>
    <t xml:space="preserve">Levendig </t>
  </si>
  <si>
    <t xml:space="preserve">46. </t>
  </si>
  <si>
    <t xml:space="preserve">Spreken </t>
  </si>
  <si>
    <t xml:space="preserve">52. </t>
  </si>
  <si>
    <t xml:space="preserve">Open </t>
  </si>
  <si>
    <t xml:space="preserve">Terughoudend</t>
  </si>
  <si>
    <t xml:space="preserve">Kalm</t>
  </si>
  <si>
    <t xml:space="preserve">Schrijven</t>
  </si>
  <si>
    <t xml:space="preserve">Gereserveerd</t>
  </si>
  <si>
    <t xml:space="preserve">Deel III. Welk antwoord verwoordt het best hoe u zich meestal voelt of gedraagt ?</t>
  </si>
  <si>
    <t xml:space="preserve">53. </t>
  </si>
  <si>
    <t xml:space="preserve">Kunnen mensen die u voor het eerst ontmoet, </t>
  </si>
  <si>
    <t xml:space="preserve">61. </t>
  </si>
  <si>
    <t xml:space="preserve">Toont u gewoonlijk uw gevoelens</t>
  </si>
  <si>
    <t xml:space="preserve">68. </t>
  </si>
  <si>
    <t xml:space="preserve">Zou u zeggen dat u</t>
  </si>
  <si>
    <t xml:space="preserve">vertellen waar u interesse in heeft</t>
  </si>
  <si>
    <t xml:space="preserve">vrij snel na een eerste contact</t>
  </si>
  <si>
    <t xml:space="preserve">vrijuit, openlijk</t>
  </si>
  <si>
    <t xml:space="preserve">enthousiaster wordt over iets dan </t>
  </si>
  <si>
    <t xml:space="preserve">de doorsnee persoon, of</t>
  </si>
  <si>
    <t xml:space="preserve">pas nadat zij u echt hebben leren kennen ?</t>
  </si>
  <si>
    <t xml:space="preserve">houdt u ze doorgaans voor uzelf ?</t>
  </si>
  <si>
    <t xml:space="preserve">minder opgewonden geraakt dan anderen ?</t>
  </si>
  <si>
    <t xml:space="preserve">54. </t>
  </si>
  <si>
    <t xml:space="preserve">Als u iets doet dat vele anderen doen,</t>
  </si>
  <si>
    <t xml:space="preserve">62. </t>
  </si>
  <si>
    <t xml:space="preserve">Verkiest u</t>
  </si>
  <si>
    <t xml:space="preserve">69. </t>
  </si>
  <si>
    <t xml:space="preserve">Is het een groter compliment om te zeggen </t>
  </si>
  <si>
    <t xml:space="preserve">dat iemand</t>
  </si>
  <si>
    <t xml:space="preserve">doet u dit op een algemeen aanvaarde </t>
  </si>
  <si>
    <t xml:space="preserve">de beproefde methode om een goed </t>
  </si>
  <si>
    <t xml:space="preserve">gezond verstand heeft</t>
  </si>
  <si>
    <t xml:space="preserve">manier, of</t>
  </si>
  <si>
    <t xml:space="preserve">resultaat te halen, of</t>
  </si>
  <si>
    <t xml:space="preserve">zoekt u een geheel eigen manier ?</t>
  </si>
  <si>
    <t xml:space="preserve">telkens na te gaan wat nog fout gaat </t>
  </si>
  <si>
    <t xml:space="preserve">visie heeft ?</t>
  </si>
  <si>
    <t xml:space="preserve">en onopgeloste problemen aan te pakken ?</t>
  </si>
  <si>
    <t xml:space="preserve">55. </t>
  </si>
  <si>
    <t xml:space="preserve">Vindt u het erger als iemand</t>
  </si>
  <si>
    <t xml:space="preserve">63. </t>
  </si>
  <si>
    <t xml:space="preserve">Zou u liever werken onder iemand die</t>
  </si>
  <si>
    <t xml:space="preserve">70. </t>
  </si>
  <si>
    <t xml:space="preserve">Vindt u het een grotere tekortkoming</t>
  </si>
  <si>
    <t xml:space="preserve">onaardig is</t>
  </si>
  <si>
    <t xml:space="preserve">steeds attent is</t>
  </si>
  <si>
    <t xml:space="preserve">om niet genoeg genegenheid te tonen</t>
  </si>
  <si>
    <t xml:space="preserve">onbezonnen is ?</t>
  </si>
  <si>
    <t xml:space="preserve">steeds redelijk is ?</t>
  </si>
  <si>
    <t xml:space="preserve">om teveel genegenheid te tonen ?</t>
  </si>
  <si>
    <t xml:space="preserve">56. </t>
  </si>
  <si>
    <t xml:space="preserve">Vindt u een dagelijkse routine,</t>
  </si>
  <si>
    <t xml:space="preserve">71. </t>
  </si>
  <si>
    <t xml:space="preserve">Als u een speciale opdracht moet uitvoeren, </t>
  </si>
  <si>
    <t xml:space="preserve">houdt u ervan om</t>
  </si>
  <si>
    <t xml:space="preserve">een prettige manier om allerlei </t>
  </si>
  <si>
    <t xml:space="preserve">deze zorgvuldig voor te bereiden</t>
  </si>
  <si>
    <t xml:space="preserve">dingen gedaan te krijgen, of</t>
  </si>
  <si>
    <t xml:space="preserve">vervelend, zelfs als het noodzakelijk is ?</t>
  </si>
  <si>
    <t xml:space="preserve">tijdens de uitvoering te weten te komen </t>
  </si>
  <si>
    <t xml:space="preserve">wat er nodig is ?</t>
  </si>
  <si>
    <t xml:space="preserve">57. </t>
  </si>
  <si>
    <t xml:space="preserve">Op feestjes,</t>
  </si>
  <si>
    <t xml:space="preserve">64. </t>
  </si>
  <si>
    <t xml:space="preserve">Als iets “in” wordt,</t>
  </si>
  <si>
    <t xml:space="preserve">72. </t>
  </si>
  <si>
    <t xml:space="preserve">Leert men u</t>
  </si>
  <si>
    <t xml:space="preserve">verveelt u zich soms</t>
  </si>
  <si>
    <t xml:space="preserve">wacht u liever af</t>
  </si>
  <si>
    <t xml:space="preserve">moeilijk kennen</t>
  </si>
  <si>
    <t xml:space="preserve">maakt u altijd plezier ?</t>
  </si>
  <si>
    <t xml:space="preserve">bent u meestal als een van de </t>
  </si>
  <si>
    <t xml:space="preserve">gemakkelijk kennen ?</t>
  </si>
  <si>
    <t xml:space="preserve">eersten geïnteresseerd ?</t>
  </si>
  <si>
    <t xml:space="preserve">58. </t>
  </si>
  <si>
    <t xml:space="preserve">Als u een groot project opstart dat </t>
  </si>
  <si>
    <t xml:space="preserve">65. </t>
  </si>
  <si>
    <t xml:space="preserve">Als u een taak moet af maken,</t>
  </si>
  <si>
    <t xml:space="preserve">73. </t>
  </si>
  <si>
    <t xml:space="preserve">Vindt u de meer routinematige delen van uw dag</t>
  </si>
  <si>
    <t xml:space="preserve">binnen een week klaar moet zijn, zult u</t>
  </si>
  <si>
    <t xml:space="preserve">de tijd nemen om een lijst op te stellen wat er </t>
  </si>
  <si>
    <t xml:space="preserve">begint u vroeg om aan het einde </t>
  </si>
  <si>
    <t xml:space="preserve">rustgevend</t>
  </si>
  <si>
    <t xml:space="preserve">gedaan moet worden en in welke volgorde, of</t>
  </si>
  <si>
    <t xml:space="preserve">tijd over te hebben, of</t>
  </si>
  <si>
    <t xml:space="preserve">snel van start gaan ?</t>
  </si>
  <si>
    <t xml:space="preserve">ontwikkelt u een extra snelheid </t>
  </si>
  <si>
    <t xml:space="preserve">saai ?</t>
  </si>
  <si>
    <t xml:space="preserve">op het laatste moment</t>
  </si>
  <si>
    <t xml:space="preserve">59. </t>
  </si>
  <si>
    <t xml:space="preserve">Denkt u dat het belangrijker is de </t>
  </si>
  <si>
    <t xml:space="preserve">66. </t>
  </si>
  <si>
    <t xml:space="preserve">In uw leefstijl geeft u er de voorkeur aan</t>
  </si>
  <si>
    <t xml:space="preserve">vaardigheid te hebben om</t>
  </si>
  <si>
    <t xml:space="preserve">de mogelijkheden in een situatie te zien</t>
  </si>
  <si>
    <t xml:space="preserve">om origineel te zijn</t>
  </si>
  <si>
    <t xml:space="preserve">rekening te houden met de feiten </t>
  </si>
  <si>
    <t xml:space="preserve">om conventioneel te zijn ?</t>
  </si>
  <si>
    <t xml:space="preserve">zoals ze zijn ?</t>
  </si>
  <si>
    <t xml:space="preserve">(Alleen bij de volgende vraag mag u twee antwoorden </t>
  </si>
  <si>
    <t xml:space="preserve">aanduiden indien u dit wenst.)</t>
  </si>
  <si>
    <t xml:space="preserve">60. </t>
  </si>
  <si>
    <t xml:space="preserve">Wanneer u denkt aan een of andere </t>
  </si>
  <si>
    <t xml:space="preserve">67. </t>
  </si>
  <si>
    <t xml:space="preserve">Tijdens uw dagelijks werk</t>
  </si>
  <si>
    <t xml:space="preserve">kleinigheid die u moet kopen of doen,</t>
  </si>
  <si>
    <t xml:space="preserve">vergeet u dit vaak tot u het zich veel later weer </t>
  </si>
  <si>
    <t xml:space="preserve">houdt u eerder van dringende voorvallen </t>
  </si>
  <si>
    <t xml:space="preserve">herinnert, of</t>
  </si>
  <si>
    <t xml:space="preserve">die u tegen de tijd doen werken, of</t>
  </si>
  <si>
    <t xml:space="preserve">schrijft u dit meestal neer op een </t>
  </si>
  <si>
    <t xml:space="preserve">verafschuwt u onder druk te werken, of</t>
  </si>
  <si>
    <t xml:space="preserve">stukje papier om het te onthouden, of</t>
  </si>
  <si>
    <t xml:space="preserve">organiseert u meestal uw werk zodanig dat </t>
  </si>
  <si>
    <t xml:space="preserve">voltooit u het altijd zonder </t>
  </si>
  <si>
    <t xml:space="preserve">u niet onder druk hoeft te werken ?</t>
  </si>
  <si>
    <t xml:space="preserve">geheugensteuntjes ?</t>
  </si>
  <si>
    <t xml:space="preserve">Deel IV. Welk van beide woorden spreekt u het meest aan ?</t>
  </si>
  <si>
    <t xml:space="preserve">74. </t>
  </si>
  <si>
    <t xml:space="preserve">Aanvaarden</t>
  </si>
  <si>
    <t xml:space="preserve">80. </t>
  </si>
  <si>
    <t xml:space="preserve">Vertrouwd</t>
  </si>
  <si>
    <t xml:space="preserve">86.</t>
  </si>
  <si>
    <t xml:space="preserve">Feiten</t>
  </si>
  <si>
    <t xml:space="preserve">91. </t>
  </si>
  <si>
    <t xml:space="preserve">Stelling</t>
  </si>
  <si>
    <t xml:space="preserve">Veranderen</t>
  </si>
  <si>
    <t xml:space="preserve">Nieuw</t>
  </si>
  <si>
    <t xml:space="preserve">Ideeën</t>
  </si>
  <si>
    <t xml:space="preserve">Idee</t>
  </si>
  <si>
    <t xml:space="preserve">75. </t>
  </si>
  <si>
    <t xml:space="preserve">Denken</t>
  </si>
  <si>
    <t xml:space="preserve">81. </t>
  </si>
  <si>
    <t xml:space="preserve">Overtuigend</t>
  </si>
  <si>
    <t xml:space="preserve">87. </t>
  </si>
  <si>
    <t xml:space="preserve">Vastberaden</t>
  </si>
  <si>
    <t xml:space="preserve">92. </t>
  </si>
  <si>
    <t xml:space="preserve">Gerechtigheid</t>
  </si>
  <si>
    <t xml:space="preserve">Voelen</t>
  </si>
  <si>
    <t xml:space="preserve">Gevoelsmatig</t>
  </si>
  <si>
    <t xml:space="preserve">Toegewijd</t>
  </si>
  <si>
    <t xml:space="preserve">Mededogen</t>
  </si>
  <si>
    <t xml:space="preserve">76. </t>
  </si>
  <si>
    <t xml:space="preserve">Stipt</t>
  </si>
  <si>
    <t xml:space="preserve">82. </t>
  </si>
  <si>
    <t xml:space="preserve">Stabiel</t>
  </si>
  <si>
    <t xml:space="preserve">Ordelijk</t>
  </si>
  <si>
    <t xml:space="preserve">93. </t>
  </si>
  <si>
    <t xml:space="preserve">Voorzichtig</t>
  </si>
  <si>
    <t xml:space="preserve">Ontspannen</t>
  </si>
  <si>
    <t xml:space="preserve">Veranderend</t>
  </si>
  <si>
    <t xml:space="preserve">Snel</t>
  </si>
  <si>
    <t xml:space="preserve">77. </t>
  </si>
  <si>
    <t xml:space="preserve">Hypothese</t>
  </si>
  <si>
    <t xml:space="preserve">83. </t>
  </si>
  <si>
    <t xml:space="preserve">Figuurlijk</t>
  </si>
  <si>
    <t xml:space="preserve">89. </t>
  </si>
  <si>
    <t xml:space="preserve">Verbeeldingsrijk</t>
  </si>
  <si>
    <t xml:space="preserve">Feit</t>
  </si>
  <si>
    <t xml:space="preserve">Letterlijk</t>
  </si>
  <si>
    <t xml:space="preserve">Feitelijk</t>
  </si>
  <si>
    <t xml:space="preserve">78. </t>
  </si>
  <si>
    <t xml:space="preserve">Overeenkomen</t>
  </si>
  <si>
    <t xml:space="preserve">84. </t>
  </si>
  <si>
    <t xml:space="preserve">Zachtaardig</t>
  </si>
  <si>
    <t xml:space="preserve">90. </t>
  </si>
  <si>
    <t xml:space="preserve">Meevoelen</t>
  </si>
  <si>
    <t xml:space="preserve">94. </t>
  </si>
  <si>
    <t xml:space="preserve">Persoon</t>
  </si>
  <si>
    <t xml:space="preserve">Onderhandelen</t>
  </si>
  <si>
    <t xml:space="preserve">Analyseren</t>
  </si>
  <si>
    <t xml:space="preserve">79. </t>
  </si>
  <si>
    <t xml:space="preserve">Deelnemen</t>
  </si>
  <si>
    <t xml:space="preserve">85. </t>
  </si>
  <si>
    <t xml:space="preserve">Hartelijk</t>
  </si>
  <si>
    <t xml:space="preserve">Toekijken</t>
  </si>
  <si>
    <t xml:space="preserve">Rustig</t>
  </si>
  <si>
    <t xml:space="preserve">SAMENVATTING VAN DE SCORES VOOR EEN MAN</t>
  </si>
  <si>
    <t xml:space="preserve">RUWE SCORES</t>
  </si>
  <si>
    <t xml:space="preserve">   RUWE SCORES</t>
  </si>
  <si>
    <t xml:space="preserve">ruwe score voor</t>
  </si>
  <si>
    <t xml:space="preserve">E (Extraversie)  </t>
  </si>
  <si>
    <t xml:space="preserve">  I (Introversie)</t>
  </si>
  <si>
    <t xml:space="preserve">S (Observatie)  </t>
  </si>
  <si>
    <t xml:space="preserve">  N (Intuïtie)</t>
  </si>
  <si>
    <t xml:space="preserve">T (Reflectie)  </t>
  </si>
  <si>
    <t xml:space="preserve">  F (Gevoel)</t>
  </si>
  <si>
    <t xml:space="preserve">J (Beheersing)  </t>
  </si>
  <si>
    <t xml:space="preserve">  P (Waarneming)</t>
  </si>
  <si>
    <t xml:space="preserve">   MBTI - TYPE</t>
  </si>
  <si>
    <t xml:space="preserve">MBTI - TYPE :</t>
  </si>
  <si>
    <t xml:space="preserve">   VOORKEURSSCORES</t>
  </si>
  <si>
    <t xml:space="preserve">VOORKEURSSCORES</t>
  </si>
  <si>
    <t xml:space="preserve">MBTI</t>
  </si>
  <si>
    <t xml:space="preserve">VERSCHIL</t>
  </si>
  <si>
    <t xml:space="preserve">VERDUBBELD VERSCHIL</t>
  </si>
  <si>
    <t xml:space="preserve">VOORKEURS SCORE</t>
  </si>
  <si>
    <t xml:space="preserve">MBTI-profiel voor :</t>
  </si>
  <si>
    <t xml:space="preserve">Beste</t>
  </si>
  <si>
    <t xml:space="preserve">U hebt een vragenlijst ingevuld waarmee wij uw voorkeuren op verschillende dimensies</t>
  </si>
  <si>
    <t xml:space="preserve">berekend hebben.</t>
  </si>
  <si>
    <t xml:space="preserve">Deze dimensies zijn :</t>
  </si>
  <si>
    <t xml:space="preserve">STIMULEREN : </t>
  </si>
  <si>
    <t xml:space="preserve">Waar u energie uit haalt.</t>
  </si>
  <si>
    <t xml:space="preserve">E : </t>
  </si>
  <si>
    <t xml:space="preserve">Extravert </t>
  </si>
  <si>
    <t xml:space="preserve">Extraversie</t>
  </si>
  <si>
    <t xml:space="preserve">Voorkeur om energie te halen uit de buitenwereld van mensen, activiteiten, </t>
  </si>
  <si>
    <t xml:space="preserve">dingen.</t>
  </si>
  <si>
    <t xml:space="preserve">Introvert</t>
  </si>
  <si>
    <t xml:space="preserve">Introversie</t>
  </si>
  <si>
    <t xml:space="preserve">Voorkeur om energie te halen uit de interne wereld van ideeën, emoties en</t>
  </si>
  <si>
    <t xml:space="preserve">indrukken.</t>
  </si>
  <si>
    <t xml:space="preserve">WAARNEMEN :</t>
  </si>
  <si>
    <t xml:space="preserve">Waar u aandacht aan schenkt.</t>
  </si>
  <si>
    <t xml:space="preserve">Sensing</t>
  </si>
  <si>
    <t xml:space="preserve">Observatie</t>
  </si>
  <si>
    <t xml:space="preserve">Voorkeur om informatie te verwerven door gebruik van de vijf zintuigen en </t>
  </si>
  <si>
    <t xml:space="preserve">aandacht te schenken aan het bestaande.</t>
  </si>
  <si>
    <t xml:space="preserve">N : </t>
  </si>
  <si>
    <t xml:space="preserve">iNtuition</t>
  </si>
  <si>
    <t xml:space="preserve">Intuïtie</t>
  </si>
  <si>
    <t xml:space="preserve">Voorkeur om informatie te verwerven door gebruik van het zesde zintuig en</t>
  </si>
  <si>
    <t xml:space="preserve">aandacht te schenken aan 'wat zou kunnen'.</t>
  </si>
  <si>
    <t xml:space="preserve">BESLISSEN :</t>
  </si>
  <si>
    <t xml:space="preserve">Hoe u beslist.</t>
  </si>
  <si>
    <t xml:space="preserve">Thinking</t>
  </si>
  <si>
    <t xml:space="preserve">Reflectie</t>
  </si>
  <si>
    <t xml:space="preserve">Voorkeur om informatie voor het nemen van beslissingen te organiseren en </t>
  </si>
  <si>
    <t xml:space="preserve">te structureren op een logische en objectieve wijze.</t>
  </si>
  <si>
    <t xml:space="preserve">Feeling</t>
  </si>
  <si>
    <t xml:space="preserve">Gevoel</t>
  </si>
  <si>
    <t xml:space="preserve">te structureren op een persoonlijke en waardegeladen wijze.</t>
  </si>
  <si>
    <t xml:space="preserve">LEVEN :</t>
  </si>
  <si>
    <t xml:space="preserve">Uw levensstijl.</t>
  </si>
  <si>
    <t xml:space="preserve">Judging</t>
  </si>
  <si>
    <t xml:space="preserve">Beheersing</t>
  </si>
  <si>
    <t xml:space="preserve">Voorkeur voor een gestructureerd en georganiseerd leven.</t>
  </si>
  <si>
    <t xml:space="preserve">Perceiving</t>
  </si>
  <si>
    <t xml:space="preserve">Perceptie</t>
  </si>
  <si>
    <t xml:space="preserve">Voorkeur voor een spontaan en flexibel leven.</t>
  </si>
  <si>
    <t xml:space="preserve">Bij uw lettercode staan cijfers vermeld die aangeven hoe duidelijk uw voorkeur voor die dimensie is :</t>
  </si>
  <si>
    <t xml:space="preserve">1 = Lichte voorkeur</t>
  </si>
  <si>
    <t xml:space="preserve">Waarschijnlijk twijfelt u welke voorkeur u het meest hebt.</t>
  </si>
  <si>
    <t xml:space="preserve">2 = Gematigde voorkeur</t>
  </si>
  <si>
    <t xml:space="preserve">Waarschijnlijk herkent u deze voorkeur, maar ook veel van de andere kant.</t>
  </si>
  <si>
    <t xml:space="preserve">3 = Duidelijke voorkeur</t>
  </si>
  <si>
    <t xml:space="preserve">Waarschijnlijk bent u het eens met deze voorkeur.</t>
  </si>
  <si>
    <t xml:space="preserve">4 = Heel duidelijke voorkeur</t>
  </si>
  <si>
    <t xml:space="preserve">Is er nog twijfel mogelijk ?</t>
  </si>
  <si>
    <t xml:space="preserve">Uw MBTI-profiel :</t>
  </si>
</sst>
</file>

<file path=xl/styles.xml><?xml version="1.0" encoding="utf-8"?>
<styleSheet xmlns="http://schemas.openxmlformats.org/spreadsheetml/2006/main">
  <numFmts count="1">
    <numFmt numFmtId="164" formatCode="General"/>
  </numFmts>
  <fonts count="12">
    <font>
      <sz val="10"/>
      <name val="Arial"/>
      <family val="0"/>
    </font>
    <font>
      <sz val="10"/>
      <name val="Arial"/>
      <family val="0"/>
    </font>
    <font>
      <sz val="10"/>
      <name val="Arial"/>
      <family val="0"/>
    </font>
    <font>
      <sz val="10"/>
      <name val="Arial"/>
      <family val="0"/>
    </font>
    <font>
      <b val="true"/>
      <sz val="12"/>
      <name val="Arial"/>
      <family val="2"/>
    </font>
    <font>
      <sz val="10"/>
      <name val="Arial"/>
      <family val="2"/>
    </font>
    <font>
      <sz val="12"/>
      <name val="Arial"/>
      <family val="2"/>
    </font>
    <font>
      <b val="true"/>
      <sz val="14"/>
      <name val="Arial"/>
      <family val="2"/>
    </font>
    <font>
      <b val="true"/>
      <sz val="12"/>
      <color rgb="FFFFFFFF"/>
      <name val="Arial"/>
      <family val="2"/>
    </font>
    <font>
      <b val="true"/>
      <sz val="10"/>
      <name val="Arial"/>
      <family val="2"/>
    </font>
    <font>
      <i val="true"/>
      <sz val="10"/>
      <name val="Arial"/>
      <family val="2"/>
    </font>
    <font>
      <b val="true"/>
      <sz val="18"/>
      <name val="Arial"/>
      <family val="2"/>
    </font>
  </fonts>
  <fills count="3">
    <fill>
      <patternFill patternType="none"/>
    </fill>
    <fill>
      <patternFill patternType="gray125"/>
    </fill>
    <fill>
      <patternFill patternType="solid">
        <fgColor rgb="FF000000"/>
        <bgColor rgb="FF003300"/>
      </patternFill>
    </fill>
  </fills>
  <borders count="18">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medium"/>
      <right style="thin">
        <color rgb="FFFFFFFF"/>
      </right>
      <top/>
      <bottom/>
      <diagonal/>
    </border>
    <border diagonalUp="false" diagonalDown="false">
      <left style="thin">
        <color rgb="FFFFFFFF"/>
      </left>
      <right style="medium">
        <color rgb="FFFFFFFF"/>
      </right>
      <top/>
      <bottom/>
      <diagonal/>
    </border>
    <border diagonalUp="false" diagonalDown="false">
      <left style="medium">
        <color rgb="FFFFFFFF"/>
      </left>
      <right style="thin">
        <color rgb="FFFFFFFF"/>
      </right>
      <top/>
      <bottom/>
      <diagonal/>
    </border>
    <border diagonalUp="false" diagonalDown="false">
      <left style="thin"/>
      <right style="medium"/>
      <top/>
      <bottom/>
      <diagonal/>
    </border>
    <border diagonalUp="false" diagonalDown="false">
      <left style="medium"/>
      <right/>
      <top/>
      <bottom/>
      <diagonal/>
    </border>
    <border diagonalUp="false" diagonalDown="false">
      <left style="medium"/>
      <right/>
      <top/>
      <bottom style="thin"/>
      <diagonal/>
    </border>
    <border diagonalUp="false" diagonalDown="false">
      <left style="thin"/>
      <right style="medium"/>
      <top/>
      <bottom style="thin"/>
      <diagonal/>
    </border>
    <border diagonalUp="false" diagonalDown="false">
      <left/>
      <right/>
      <top/>
      <bottom style="thin"/>
      <diagonal/>
    </border>
    <border diagonalUp="false" diagonalDown="false">
      <left style="thin"/>
      <right/>
      <top/>
      <bottom/>
      <diagonal/>
    </border>
    <border diagonalUp="false" diagonalDown="false">
      <left style="medium"/>
      <right/>
      <top style="thin"/>
      <bottom/>
      <diagonal/>
    </border>
    <border diagonalUp="false" diagonalDown="false">
      <left style="thin"/>
      <right style="medium"/>
      <top style="thin"/>
      <bottom/>
      <diagonal/>
    </border>
    <border diagonalUp="false" diagonalDown="false">
      <left/>
      <right/>
      <top style="thin"/>
      <bottom/>
      <diagonal/>
    </border>
    <border diagonalUp="false" diagonalDown="false">
      <left style="medium"/>
      <right/>
      <top style="medium"/>
      <bottom style="medium"/>
      <diagonal/>
    </border>
    <border diagonalUp="false" diagonalDown="false">
      <left style="thin"/>
      <right style="medium"/>
      <top style="medium"/>
      <bottom style="medium"/>
      <diagonal/>
    </border>
    <border diagonalUp="false" diagonalDown="false">
      <left/>
      <right/>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left" vertical="top" textRotation="0" wrapText="false" indent="0" shrinkToFit="false"/>
      <protection locked="true" hidden="false"/>
    </xf>
    <xf numFmtId="164" fontId="0" fillId="0" borderId="0" xfId="0" applyFont="false" applyBorder="tru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right"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2" xfId="0" applyFont="false" applyBorder="true" applyAlignment="true" applyProtection="true">
      <alignment horizontal="center" vertical="bottom" textRotation="0" wrapText="false" indent="0" shrinkToFit="false"/>
      <protection locked="fals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3" xfId="0" applyFont="true" applyBorder="true" applyAlignment="true" applyProtection="false">
      <alignment horizontal="center" vertical="bottom" textRotation="0" wrapText="false" indent="0" shrinkToFit="false"/>
      <protection locked="true" hidden="false"/>
    </xf>
    <xf numFmtId="164" fontId="8" fillId="2" borderId="4" xfId="0" applyFont="true" applyBorder="true" applyAlignment="true" applyProtection="false">
      <alignment horizontal="center" vertical="bottom" textRotation="0" wrapText="false" indent="0" shrinkToFit="false"/>
      <protection locked="true" hidden="false"/>
    </xf>
    <xf numFmtId="164" fontId="8" fillId="2" borderId="5" xfId="0" applyFont="true" applyBorder="true" applyAlignment="true" applyProtection="false">
      <alignment horizontal="center" vertical="bottom" textRotation="0" wrapText="false" indent="0" shrinkToFit="false"/>
      <protection locked="true" hidden="false"/>
    </xf>
    <xf numFmtId="164" fontId="8" fillId="2" borderId="6"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true" indent="0" shrinkToFit="false"/>
      <protection locked="true" hidden="false"/>
    </xf>
    <xf numFmtId="164" fontId="6" fillId="0" borderId="7" xfId="0" applyFont="true" applyBorder="true" applyAlignment="true" applyProtection="false">
      <alignment horizontal="center" vertical="bottom" textRotation="0" wrapText="false" indent="0" shrinkToFit="false"/>
      <protection locked="true" hidden="false"/>
    </xf>
    <xf numFmtId="164" fontId="6" fillId="0" borderId="6"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8" xfId="0" applyFont="true" applyBorder="true" applyAlignment="true" applyProtection="false">
      <alignment horizontal="center" vertical="bottom" textRotation="0" wrapText="false" indent="0" shrinkToFit="false"/>
      <protection locked="true" hidden="false"/>
    </xf>
    <xf numFmtId="164" fontId="6" fillId="0" borderId="9" xfId="0" applyFont="true" applyBorder="true" applyAlignment="true" applyProtection="false">
      <alignment horizontal="center" vertical="bottom" textRotation="0" wrapText="false" indent="0" shrinkToFit="false"/>
      <protection locked="true" hidden="false"/>
    </xf>
    <xf numFmtId="164" fontId="6" fillId="0" borderId="1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1"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255" wrapText="true" indent="0" shrinkToFit="false"/>
      <protection locked="true" hidden="false"/>
    </xf>
    <xf numFmtId="164" fontId="4" fillId="0" borderId="1" xfId="0" applyFont="true" applyBorder="true" applyAlignment="true" applyProtection="false">
      <alignment horizontal="center" vertical="center" textRotation="255" wrapText="true" indent="0" shrinkToFit="false"/>
      <protection locked="true" hidden="false"/>
    </xf>
    <xf numFmtId="164" fontId="9" fillId="0" borderId="1" xfId="0" applyFont="true" applyBorder="true" applyAlignment="true" applyProtection="false">
      <alignment horizontal="center" vertical="center" textRotation="255" wrapText="false" indent="0" shrinkToFit="false"/>
      <protection locked="true" hidden="false"/>
    </xf>
    <xf numFmtId="164" fontId="9" fillId="0" borderId="1" xfId="0" applyFont="true" applyBorder="true" applyAlignment="true" applyProtection="false">
      <alignment horizontal="center" vertical="center" textRotation="255" wrapText="true" indent="0" shrinkToFit="false"/>
      <protection locked="true" hidden="false"/>
    </xf>
    <xf numFmtId="164" fontId="6" fillId="0" borderId="12" xfId="0" applyFont="true" applyBorder="true" applyAlignment="true" applyProtection="false">
      <alignment horizontal="center" vertical="bottom" textRotation="0" wrapText="false" indent="0" shrinkToFit="false"/>
      <protection locked="true" hidden="false"/>
    </xf>
    <xf numFmtId="164" fontId="6" fillId="0" borderId="13" xfId="0" applyFont="true" applyBorder="true" applyAlignment="true" applyProtection="false">
      <alignment horizontal="center" vertical="bottom" textRotation="0" wrapText="false" indent="0" shrinkToFit="false"/>
      <protection locked="true" hidden="false"/>
    </xf>
    <xf numFmtId="164" fontId="6" fillId="0" borderId="14" xfId="0" applyFont="true" applyBorder="true" applyAlignment="true" applyProtection="false">
      <alignment horizontal="center" vertical="bottom" textRotation="0" wrapText="false" indent="0" shrinkToFit="false"/>
      <protection locked="true" hidden="false"/>
    </xf>
    <xf numFmtId="164" fontId="6" fillId="0" borderId="15" xfId="0" applyFont="true" applyBorder="true" applyAlignment="true" applyProtection="false">
      <alignment horizontal="center" vertical="bottom" textRotation="0" wrapText="false" indent="0" shrinkToFit="false"/>
      <protection locked="true" hidden="false"/>
    </xf>
    <xf numFmtId="164" fontId="6" fillId="0" borderId="16" xfId="0" applyFont="true" applyBorder="true" applyAlignment="true" applyProtection="false">
      <alignment horizontal="center" vertical="bottom" textRotation="0" wrapText="false" indent="0" shrinkToFit="false"/>
      <protection locked="true" hidden="false"/>
    </xf>
    <xf numFmtId="164" fontId="6" fillId="0" borderId="1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9" fillId="0" borderId="0" xfId="0" applyFont="true" applyBorder="tru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right" vertical="top"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71875" defaultRowHeight="12.5" customHeight="true" zeroHeight="false" outlineLevelRow="0" outlineLevelCol="0"/>
  <cols>
    <col collapsed="false" customWidth="true" hidden="false" outlineLevel="0" max="1" min="1" style="1" width="3.72"/>
    <col collapsed="false" customWidth="true" hidden="false" outlineLevel="0" max="2" min="2" style="1" width="2.72"/>
    <col collapsed="false" customWidth="true" hidden="false" outlineLevel="0" max="11" min="3" style="1" width="3.72"/>
    <col collapsed="false" customWidth="true" hidden="false" outlineLevel="0" max="12" min="12" style="1" width="2.72"/>
    <col collapsed="false" customWidth="true" hidden="false" outlineLevel="0" max="15" min="13" style="1" width="3.72"/>
    <col collapsed="false" customWidth="true" hidden="false" outlineLevel="0" max="16" min="16" style="1" width="2.72"/>
    <col collapsed="false" customWidth="true" hidden="false" outlineLevel="0" max="17" min="17" style="1" width="14.72"/>
    <col collapsed="false" customWidth="true" hidden="false" outlineLevel="0" max="19" min="18" style="1" width="3.72"/>
    <col collapsed="false" customWidth="true" hidden="false" outlineLevel="0" max="20" min="20" style="1" width="2.72"/>
    <col collapsed="false" customWidth="true" hidden="false" outlineLevel="0" max="21" min="21" style="1" width="14.72"/>
    <col collapsed="false" customWidth="true" hidden="false" outlineLevel="0" max="23" min="22" style="1" width="3.72"/>
    <col collapsed="false" customWidth="true" hidden="false" outlineLevel="0" max="24" min="24" style="1" width="2.72"/>
    <col collapsed="false" customWidth="true" hidden="false" outlineLevel="0" max="27" min="25" style="1" width="3.72"/>
    <col collapsed="false" customWidth="true" hidden="false" outlineLevel="0" max="28" min="28" style="1" width="2.72"/>
    <col collapsed="false" customWidth="true" hidden="false" outlineLevel="0" max="33" min="29" style="1" width="5.72"/>
    <col collapsed="false" customWidth="false" hidden="true" outlineLevel="0" max="34" min="34" style="2" width="9.17"/>
    <col collapsed="false" customWidth="true" hidden="true" outlineLevel="0" max="47" min="35" style="3" width="3.72"/>
    <col collapsed="false" customWidth="false" hidden="false" outlineLevel="0" max="257" min="48" style="1" width="9.17"/>
  </cols>
  <sheetData>
    <row r="1" customFormat="false" ht="15.5" hidden="false" customHeight="false" outlineLevel="0" collapsed="false">
      <c r="A1" s="4"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row>
    <row r="2" customFormat="false" ht="15.5" hidden="false" customHeight="false" outlineLevel="0" collapsed="false">
      <c r="A2" s="4"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I2" s="5"/>
      <c r="AJ2" s="5"/>
      <c r="AK2" s="5"/>
      <c r="AL2" s="5"/>
      <c r="AM2" s="5"/>
      <c r="AN2" s="5"/>
      <c r="AO2" s="5"/>
      <c r="AP2" s="5"/>
    </row>
    <row r="4" customFormat="false" ht="12.5" hidden="false" customHeight="false" outlineLevel="0" collapsed="false">
      <c r="A4" s="6" t="s">
        <v>2</v>
      </c>
      <c r="B4" s="7" t="s">
        <v>3</v>
      </c>
      <c r="C4" s="7"/>
      <c r="D4" s="7"/>
      <c r="E4" s="7"/>
      <c r="F4" s="7"/>
      <c r="G4" s="7"/>
      <c r="H4" s="7"/>
      <c r="I4" s="7"/>
      <c r="J4" s="7"/>
      <c r="K4" s="8"/>
      <c r="L4" s="8"/>
      <c r="M4" s="8"/>
      <c r="O4" s="1" t="s">
        <v>4</v>
      </c>
      <c r="P4" s="1" t="s">
        <v>5</v>
      </c>
      <c r="W4" s="1" t="s">
        <v>6</v>
      </c>
      <c r="X4" s="1" t="s">
        <v>7</v>
      </c>
      <c r="AH4" s="9"/>
      <c r="AI4" s="10"/>
      <c r="AJ4" s="10"/>
      <c r="AK4" s="10"/>
      <c r="AL4" s="10"/>
      <c r="AM4" s="10"/>
      <c r="AN4" s="10" t="s">
        <v>8</v>
      </c>
      <c r="AO4" s="10" t="s">
        <v>9</v>
      </c>
      <c r="AP4" s="10" t="s">
        <v>10</v>
      </c>
      <c r="AQ4" s="10" t="s">
        <v>11</v>
      </c>
      <c r="AR4" s="10" t="s">
        <v>12</v>
      </c>
      <c r="AS4" s="10" t="s">
        <v>13</v>
      </c>
      <c r="AT4" s="10" t="s">
        <v>14</v>
      </c>
      <c r="AU4" s="10" t="s">
        <v>15</v>
      </c>
    </row>
    <row r="5" customFormat="false" ht="12.5" hidden="false" customHeight="false" outlineLevel="0" collapsed="false">
      <c r="B5" s="8"/>
      <c r="C5" s="8"/>
      <c r="D5" s="8"/>
      <c r="E5" s="8"/>
      <c r="F5" s="8"/>
      <c r="G5" s="8"/>
      <c r="H5" s="8"/>
      <c r="I5" s="8"/>
      <c r="J5" s="8"/>
      <c r="K5" s="8"/>
      <c r="L5" s="8"/>
      <c r="M5" s="8"/>
      <c r="AH5" s="9"/>
      <c r="AI5" s="10"/>
      <c r="AJ5" s="10"/>
      <c r="AK5" s="10"/>
      <c r="AL5" s="10"/>
      <c r="AM5" s="10"/>
      <c r="AN5" s="10"/>
      <c r="AO5" s="10"/>
      <c r="AP5" s="10"/>
      <c r="AQ5" s="10"/>
      <c r="AR5" s="10"/>
      <c r="AS5" s="10"/>
      <c r="AT5" s="10"/>
      <c r="AU5" s="10"/>
    </row>
    <row r="6" customFormat="false" ht="12.5" hidden="false" customHeight="false" outlineLevel="0" collapsed="false">
      <c r="B6" s="11"/>
      <c r="C6" s="1" t="s">
        <v>16</v>
      </c>
      <c r="P6" s="11"/>
      <c r="Q6" s="1" t="s">
        <v>17</v>
      </c>
      <c r="X6" s="11"/>
      <c r="Y6" s="1" t="s">
        <v>18</v>
      </c>
      <c r="AH6" s="2" t="s">
        <v>19</v>
      </c>
      <c r="AI6" s="3" t="n">
        <f aca="false">B6*2</f>
        <v>0</v>
      </c>
      <c r="AJ6" s="3" t="n">
        <f aca="false">P6*1</f>
        <v>0</v>
      </c>
      <c r="AK6" s="3" t="n">
        <f aca="false">X6*2</f>
        <v>0</v>
      </c>
      <c r="AN6" s="3" t="n">
        <f aca="false">SUM(AI6:AK6)</f>
        <v>0</v>
      </c>
    </row>
    <row r="7" customFormat="false" ht="12.5" hidden="false" customHeight="false" outlineLevel="0" collapsed="false">
      <c r="C7" s="1" t="s">
        <v>20</v>
      </c>
      <c r="Q7" s="1" t="s">
        <v>20</v>
      </c>
      <c r="Y7" s="1" t="s">
        <v>20</v>
      </c>
    </row>
    <row r="8" customFormat="false" ht="12.5" hidden="false" customHeight="false" outlineLevel="0" collapsed="false">
      <c r="B8" s="11"/>
      <c r="C8" s="1" t="s">
        <v>21</v>
      </c>
      <c r="P8" s="11"/>
      <c r="Q8" s="1" t="s">
        <v>22</v>
      </c>
      <c r="X8" s="11"/>
      <c r="Y8" s="1" t="s">
        <v>23</v>
      </c>
      <c r="AH8" s="2" t="s">
        <v>24</v>
      </c>
      <c r="AI8" s="3" t="n">
        <f aca="false">B8*2</f>
        <v>0</v>
      </c>
      <c r="AJ8" s="3" t="n">
        <f aca="false">P8*2</f>
        <v>0</v>
      </c>
      <c r="AK8" s="3" t="n">
        <f aca="false">X8*2</f>
        <v>0</v>
      </c>
      <c r="AO8" s="3" t="n">
        <f aca="false">SUM(AI8:AK8)</f>
        <v>0</v>
      </c>
    </row>
    <row r="9" customFormat="false" ht="12.5" hidden="false" customHeight="false" outlineLevel="0" collapsed="false">
      <c r="Z9" s="12"/>
      <c r="AA9" s="12"/>
    </row>
    <row r="10" customFormat="false" ht="12.5" hidden="false" customHeight="false" outlineLevel="0" collapsed="false">
      <c r="A10" s="12" t="s">
        <v>25</v>
      </c>
      <c r="B10" s="8" t="s">
        <v>26</v>
      </c>
      <c r="C10" s="8"/>
      <c r="D10" s="8"/>
      <c r="E10" s="8"/>
      <c r="F10" s="8"/>
      <c r="G10" s="8"/>
      <c r="H10" s="8"/>
      <c r="I10" s="8"/>
      <c r="J10" s="8"/>
      <c r="K10" s="8"/>
      <c r="L10" s="8"/>
      <c r="M10" s="8"/>
      <c r="O10" s="1" t="s">
        <v>27</v>
      </c>
      <c r="P10" s="1" t="s">
        <v>28</v>
      </c>
      <c r="W10" s="1" t="s">
        <v>29</v>
      </c>
      <c r="X10" s="1" t="s">
        <v>30</v>
      </c>
      <c r="AH10" s="9"/>
      <c r="AI10" s="10"/>
      <c r="AJ10" s="10"/>
      <c r="AK10" s="10"/>
      <c r="AL10" s="10"/>
      <c r="AM10" s="10"/>
      <c r="AN10" s="10"/>
      <c r="AO10" s="10"/>
      <c r="AP10" s="10"/>
      <c r="AQ10" s="10"/>
      <c r="AR10" s="10"/>
      <c r="AS10" s="10"/>
      <c r="AT10" s="10"/>
      <c r="AU10" s="10"/>
    </row>
    <row r="11" customFormat="false" ht="12.5" hidden="false" customHeight="false" outlineLevel="0" collapsed="false">
      <c r="B11" s="8"/>
      <c r="C11" s="8"/>
      <c r="D11" s="8"/>
      <c r="E11" s="8"/>
      <c r="F11" s="8"/>
      <c r="G11" s="8"/>
      <c r="H11" s="8"/>
      <c r="I11" s="8"/>
      <c r="J11" s="8"/>
      <c r="K11" s="8"/>
      <c r="L11" s="8"/>
      <c r="M11" s="8"/>
      <c r="AH11" s="9"/>
      <c r="AI11" s="10"/>
      <c r="AJ11" s="10"/>
      <c r="AK11" s="10"/>
      <c r="AL11" s="10"/>
      <c r="AM11" s="10"/>
      <c r="AN11" s="10"/>
      <c r="AO11" s="10"/>
      <c r="AP11" s="10"/>
      <c r="AQ11" s="10"/>
      <c r="AR11" s="10"/>
      <c r="AS11" s="10"/>
      <c r="AT11" s="10"/>
      <c r="AU11" s="10"/>
    </row>
    <row r="12" customFormat="false" ht="12.5" hidden="false" customHeight="false" outlineLevel="0" collapsed="false">
      <c r="B12" s="11"/>
      <c r="C12" s="1" t="s">
        <v>31</v>
      </c>
      <c r="P12" s="11"/>
      <c r="Q12" s="1" t="s">
        <v>32</v>
      </c>
      <c r="X12" s="11"/>
      <c r="Y12" s="1" t="s">
        <v>33</v>
      </c>
      <c r="AH12" s="2" t="s">
        <v>34</v>
      </c>
      <c r="AI12" s="3" t="n">
        <f aca="false">B12*2</f>
        <v>0</v>
      </c>
      <c r="AJ12" s="3" t="n">
        <f aca="false">P12*1</f>
        <v>0</v>
      </c>
      <c r="AK12" s="3" t="n">
        <f aca="false">X12*2</f>
        <v>0</v>
      </c>
      <c r="AP12" s="3" t="n">
        <f aca="false">SUM(AI12:AK12)</f>
        <v>0</v>
      </c>
    </row>
    <row r="13" customFormat="false" ht="12.5" hidden="false" customHeight="false" outlineLevel="0" collapsed="false">
      <c r="C13" s="1" t="s">
        <v>20</v>
      </c>
      <c r="Q13" s="1" t="s">
        <v>20</v>
      </c>
      <c r="Y13" s="1" t="s">
        <v>20</v>
      </c>
    </row>
    <row r="14" customFormat="false" ht="12.5" hidden="false" customHeight="false" outlineLevel="0" collapsed="false">
      <c r="B14" s="11"/>
      <c r="C14" s="1" t="s">
        <v>35</v>
      </c>
      <c r="P14" s="11"/>
      <c r="Q14" s="1" t="s">
        <v>36</v>
      </c>
      <c r="X14" s="11"/>
      <c r="Y14" s="1" t="s">
        <v>37</v>
      </c>
      <c r="AH14" s="2" t="s">
        <v>38</v>
      </c>
      <c r="AI14" s="3" t="n">
        <f aca="false">B14*2</f>
        <v>0</v>
      </c>
      <c r="AJ14" s="3" t="n">
        <f aca="false">P14*2</f>
        <v>0</v>
      </c>
      <c r="AK14" s="3" t="n">
        <f aca="false">X14*2</f>
        <v>0</v>
      </c>
      <c r="AQ14" s="3" t="n">
        <f aca="false">SUM(AI14:AK14)</f>
        <v>0</v>
      </c>
    </row>
    <row r="15" customFormat="false" ht="12.5" hidden="false" customHeight="false" outlineLevel="0" collapsed="false">
      <c r="B15" s="13"/>
      <c r="P15" s="13"/>
      <c r="Q15" s="1" t="s">
        <v>39</v>
      </c>
      <c r="X15" s="13"/>
    </row>
    <row r="16" customFormat="false" ht="12.5" hidden="false" customHeight="false" outlineLevel="0" collapsed="false">
      <c r="Z16" s="12"/>
      <c r="AA16" s="12"/>
    </row>
    <row r="17" customFormat="false" ht="12.5" hidden="false" customHeight="false" outlineLevel="0" collapsed="false">
      <c r="A17" s="12" t="s">
        <v>40</v>
      </c>
      <c r="B17" s="8" t="s">
        <v>41</v>
      </c>
      <c r="C17" s="8"/>
      <c r="D17" s="8"/>
      <c r="E17" s="8"/>
      <c r="F17" s="8"/>
      <c r="G17" s="8"/>
      <c r="H17" s="8"/>
      <c r="I17" s="8"/>
      <c r="J17" s="8"/>
      <c r="K17" s="8"/>
      <c r="L17" s="8"/>
      <c r="M17" s="8"/>
      <c r="O17" s="1" t="s">
        <v>42</v>
      </c>
      <c r="P17" s="1" t="s">
        <v>43</v>
      </c>
      <c r="W17" s="1" t="s">
        <v>44</v>
      </c>
      <c r="X17" s="1" t="s">
        <v>45</v>
      </c>
      <c r="AH17" s="9"/>
      <c r="AI17" s="10"/>
      <c r="AJ17" s="10"/>
      <c r="AK17" s="10"/>
      <c r="AL17" s="10"/>
      <c r="AM17" s="10"/>
      <c r="AN17" s="10"/>
      <c r="AO17" s="10"/>
      <c r="AP17" s="10"/>
      <c r="AQ17" s="10"/>
      <c r="AR17" s="10"/>
      <c r="AS17" s="10"/>
      <c r="AT17" s="10"/>
      <c r="AU17" s="10"/>
    </row>
    <row r="18" customFormat="false" ht="12.5" hidden="false" customHeight="false" outlineLevel="0" collapsed="false">
      <c r="B18" s="8" t="s">
        <v>46</v>
      </c>
      <c r="C18" s="8"/>
      <c r="D18" s="8"/>
      <c r="E18" s="8"/>
      <c r="F18" s="8"/>
      <c r="G18" s="8"/>
      <c r="H18" s="8"/>
      <c r="I18" s="8"/>
      <c r="J18" s="8"/>
      <c r="K18" s="8"/>
      <c r="L18" s="8"/>
      <c r="M18" s="8"/>
      <c r="AH18" s="9"/>
      <c r="AI18" s="10"/>
      <c r="AJ18" s="10"/>
      <c r="AK18" s="10"/>
      <c r="AL18" s="10"/>
      <c r="AM18" s="10"/>
      <c r="AN18" s="10"/>
      <c r="AO18" s="10"/>
      <c r="AP18" s="10"/>
      <c r="AQ18" s="10"/>
      <c r="AR18" s="10"/>
      <c r="AS18" s="10"/>
      <c r="AT18" s="10"/>
      <c r="AU18" s="10"/>
    </row>
    <row r="19" customFormat="false" ht="12.5" hidden="false" customHeight="false" outlineLevel="0" collapsed="false">
      <c r="B19" s="11"/>
      <c r="C19" s="1" t="s">
        <v>47</v>
      </c>
      <c r="P19" s="11"/>
      <c r="Q19" s="1" t="s">
        <v>48</v>
      </c>
      <c r="X19" s="11"/>
      <c r="Y19" s="1" t="s">
        <v>49</v>
      </c>
      <c r="AH19" s="2" t="s">
        <v>50</v>
      </c>
      <c r="AI19" s="3" t="n">
        <f aca="false">B19*1</f>
        <v>0</v>
      </c>
      <c r="AJ19" s="3" t="n">
        <f aca="false">P19*1</f>
        <v>0</v>
      </c>
      <c r="AK19" s="3" t="n">
        <f aca="false">X19*2</f>
        <v>0</v>
      </c>
      <c r="AS19" s="3" t="n">
        <f aca="false">SUM(AI19:AK19)</f>
        <v>0</v>
      </c>
    </row>
    <row r="20" customFormat="false" ht="12.5" hidden="false" customHeight="false" outlineLevel="0" collapsed="false">
      <c r="C20" s="1" t="s">
        <v>20</v>
      </c>
      <c r="Q20" s="1" t="s">
        <v>51</v>
      </c>
      <c r="Y20" s="1" t="s">
        <v>20</v>
      </c>
    </row>
    <row r="21" customFormat="false" ht="12.5" hidden="false" customHeight="false" outlineLevel="0" collapsed="false">
      <c r="B21" s="11"/>
      <c r="C21" s="1" t="s">
        <v>52</v>
      </c>
      <c r="P21" s="11"/>
      <c r="Q21" s="1" t="s">
        <v>53</v>
      </c>
      <c r="X21" s="11"/>
      <c r="Y21" s="1" t="s">
        <v>54</v>
      </c>
      <c r="Z21" s="12"/>
      <c r="AA21" s="12"/>
      <c r="AH21" s="2" t="s">
        <v>55</v>
      </c>
      <c r="AI21" s="3" t="n">
        <f aca="false">B21*2</f>
        <v>0</v>
      </c>
      <c r="AJ21" s="3" t="n">
        <f aca="false">P21*1</f>
        <v>0</v>
      </c>
      <c r="AK21" s="3" t="n">
        <f aca="false">X21*2</f>
        <v>0</v>
      </c>
      <c r="AR21" s="3" t="n">
        <f aca="false">SUM(AI21:AK21)</f>
        <v>0</v>
      </c>
    </row>
    <row r="22" customFormat="false" ht="12.5" hidden="false" customHeight="false" outlineLevel="0" collapsed="false">
      <c r="Q22" s="1" t="s">
        <v>56</v>
      </c>
      <c r="Z22" s="12"/>
      <c r="AA22" s="12"/>
    </row>
    <row r="23" customFormat="false" ht="12.5" hidden="false" customHeight="false" outlineLevel="0" collapsed="false">
      <c r="W23" s="1" t="s">
        <v>57</v>
      </c>
      <c r="X23" s="1" t="s">
        <v>58</v>
      </c>
      <c r="Z23" s="12"/>
      <c r="AA23" s="12"/>
    </row>
    <row r="24" customFormat="false" ht="12.5" hidden="false" customHeight="false" outlineLevel="0" collapsed="false">
      <c r="A24" s="12" t="s">
        <v>59</v>
      </c>
      <c r="B24" s="8" t="s">
        <v>60</v>
      </c>
      <c r="C24" s="8"/>
      <c r="D24" s="8"/>
      <c r="E24" s="8"/>
      <c r="F24" s="8"/>
      <c r="G24" s="8"/>
      <c r="H24" s="8"/>
      <c r="I24" s="8"/>
      <c r="J24" s="8"/>
      <c r="K24" s="8"/>
      <c r="L24" s="8"/>
      <c r="M24" s="8"/>
      <c r="O24" s="1" t="s">
        <v>61</v>
      </c>
      <c r="P24" s="1" t="s">
        <v>62</v>
      </c>
      <c r="X24" s="1" t="s">
        <v>63</v>
      </c>
      <c r="AH24" s="9"/>
      <c r="AI24" s="10"/>
      <c r="AJ24" s="10"/>
      <c r="AK24" s="10"/>
      <c r="AL24" s="10"/>
      <c r="AM24" s="10"/>
      <c r="AN24" s="10"/>
      <c r="AO24" s="10"/>
      <c r="AP24" s="10"/>
      <c r="AQ24" s="10"/>
      <c r="AR24" s="10"/>
      <c r="AS24" s="10"/>
      <c r="AT24" s="10"/>
      <c r="AU24" s="10"/>
    </row>
    <row r="25" customFormat="false" ht="12.5" hidden="false" customHeight="false" outlineLevel="0" collapsed="false">
      <c r="B25" s="8"/>
      <c r="C25" s="8"/>
      <c r="D25" s="8"/>
      <c r="E25" s="8"/>
      <c r="F25" s="8"/>
      <c r="G25" s="8"/>
      <c r="H25" s="8"/>
      <c r="I25" s="8"/>
      <c r="J25" s="8"/>
      <c r="K25" s="8"/>
      <c r="L25" s="8"/>
      <c r="M25" s="8"/>
      <c r="X25" s="12" t="s">
        <v>64</v>
      </c>
      <c r="AH25" s="9"/>
      <c r="AI25" s="10"/>
      <c r="AJ25" s="10"/>
      <c r="AK25" s="10"/>
      <c r="AL25" s="10"/>
      <c r="AM25" s="10"/>
      <c r="AN25" s="10"/>
      <c r="AO25" s="10"/>
      <c r="AP25" s="10"/>
      <c r="AQ25" s="10"/>
      <c r="AR25" s="10"/>
      <c r="AS25" s="10"/>
      <c r="AT25" s="10"/>
      <c r="AU25" s="10"/>
    </row>
    <row r="26" customFormat="false" ht="12.5" hidden="false" customHeight="false" outlineLevel="0" collapsed="false">
      <c r="B26" s="11"/>
      <c r="C26" s="1" t="s">
        <v>65</v>
      </c>
      <c r="P26" s="11"/>
      <c r="Q26" s="1" t="s">
        <v>66</v>
      </c>
      <c r="X26" s="11"/>
      <c r="Y26" s="1" t="s">
        <v>67</v>
      </c>
      <c r="AH26" s="2" t="s">
        <v>68</v>
      </c>
      <c r="AI26" s="3" t="n">
        <f aca="false">B26*2</f>
        <v>0</v>
      </c>
      <c r="AJ26" s="3" t="n">
        <f aca="false">P26*2</f>
        <v>0</v>
      </c>
      <c r="AK26" s="3" t="n">
        <f aca="false">X26*1</f>
        <v>0</v>
      </c>
      <c r="AT26" s="3" t="n">
        <f aca="false">SUM(AI26:AK26)</f>
        <v>0</v>
      </c>
    </row>
    <row r="27" customFormat="false" ht="12.5" hidden="false" customHeight="false" outlineLevel="0" collapsed="false">
      <c r="C27" s="1" t="s">
        <v>20</v>
      </c>
      <c r="Q27" s="1" t="s">
        <v>69</v>
      </c>
      <c r="Y27" s="1" t="s">
        <v>70</v>
      </c>
      <c r="Z27" s="12"/>
      <c r="AA27" s="12"/>
    </row>
    <row r="28" customFormat="false" ht="12.5" hidden="false" customHeight="false" outlineLevel="0" collapsed="false">
      <c r="B28" s="11"/>
      <c r="C28" s="1" t="s">
        <v>71</v>
      </c>
      <c r="P28" s="11"/>
      <c r="Q28" s="1" t="s">
        <v>72</v>
      </c>
      <c r="X28" s="11"/>
      <c r="Y28" s="1" t="s">
        <v>73</v>
      </c>
      <c r="Z28" s="12"/>
      <c r="AA28" s="12"/>
      <c r="AH28" s="2" t="s">
        <v>74</v>
      </c>
      <c r="AI28" s="3" t="n">
        <f aca="false">B28*2</f>
        <v>0</v>
      </c>
      <c r="AJ28" s="3" t="n">
        <f aca="false">P28*1</f>
        <v>0</v>
      </c>
      <c r="AK28" s="3" t="n">
        <f aca="false">X28*1</f>
        <v>0</v>
      </c>
      <c r="AU28" s="3" t="n">
        <f aca="false">SUM(AI28:AK28)</f>
        <v>0</v>
      </c>
    </row>
    <row r="29" customFormat="false" ht="12.5" hidden="false" customHeight="false" outlineLevel="0" collapsed="false">
      <c r="Q29" s="1" t="s">
        <v>75</v>
      </c>
    </row>
    <row r="31" customFormat="false" ht="12.5" hidden="false" customHeight="false" outlineLevel="0" collapsed="false">
      <c r="A31" s="12" t="s">
        <v>76</v>
      </c>
      <c r="B31" s="8" t="s">
        <v>77</v>
      </c>
      <c r="C31" s="8"/>
      <c r="D31" s="8"/>
      <c r="E31" s="8"/>
      <c r="F31" s="8"/>
      <c r="G31" s="8"/>
      <c r="H31" s="8"/>
      <c r="I31" s="8"/>
      <c r="J31" s="8"/>
      <c r="K31" s="8"/>
      <c r="L31" s="8"/>
      <c r="M31" s="8"/>
      <c r="O31" s="1" t="s">
        <v>78</v>
      </c>
      <c r="P31" s="1" t="s">
        <v>79</v>
      </c>
      <c r="W31" s="1" t="s">
        <v>80</v>
      </c>
      <c r="X31" s="1" t="s">
        <v>81</v>
      </c>
      <c r="AH31" s="9"/>
      <c r="AI31" s="10"/>
      <c r="AJ31" s="10"/>
      <c r="AK31" s="10"/>
      <c r="AL31" s="10"/>
      <c r="AM31" s="10"/>
      <c r="AN31" s="10"/>
      <c r="AO31" s="10"/>
      <c r="AP31" s="10"/>
      <c r="AQ31" s="10"/>
      <c r="AR31" s="10"/>
      <c r="AS31" s="10"/>
      <c r="AT31" s="10"/>
      <c r="AU31" s="10"/>
    </row>
    <row r="32" customFormat="false" ht="12.5" hidden="false" customHeight="false" outlineLevel="0" collapsed="false">
      <c r="B32" s="8"/>
      <c r="C32" s="8"/>
      <c r="D32" s="8"/>
      <c r="E32" s="8"/>
      <c r="F32" s="8"/>
      <c r="G32" s="8"/>
      <c r="H32" s="8"/>
      <c r="I32" s="8"/>
      <c r="J32" s="8"/>
      <c r="K32" s="8"/>
      <c r="L32" s="8"/>
      <c r="M32" s="8"/>
      <c r="AH32" s="9"/>
      <c r="AI32" s="10"/>
      <c r="AJ32" s="10"/>
      <c r="AK32" s="10"/>
      <c r="AL32" s="10"/>
      <c r="AM32" s="10"/>
      <c r="AN32" s="10"/>
      <c r="AO32" s="10"/>
      <c r="AP32" s="10"/>
      <c r="AQ32" s="10"/>
      <c r="AR32" s="10"/>
      <c r="AS32" s="10"/>
      <c r="AT32" s="10"/>
      <c r="AU32" s="10"/>
    </row>
    <row r="33" customFormat="false" ht="12.5" hidden="false" customHeight="false" outlineLevel="0" collapsed="false">
      <c r="B33" s="11"/>
      <c r="C33" s="1" t="s">
        <v>82</v>
      </c>
      <c r="P33" s="11"/>
      <c r="Q33" s="1" t="s">
        <v>83</v>
      </c>
      <c r="X33" s="11"/>
      <c r="Y33" s="1" t="s">
        <v>84</v>
      </c>
      <c r="Z33" s="12"/>
      <c r="AA33" s="12"/>
      <c r="AH33" s="2" t="s">
        <v>85</v>
      </c>
      <c r="AI33" s="3" t="n">
        <f aca="false">B33*1</f>
        <v>0</v>
      </c>
      <c r="AJ33" s="3" t="n">
        <f aca="false">P33*1</f>
        <v>0</v>
      </c>
      <c r="AK33" s="3" t="n">
        <f aca="false">X33*2</f>
        <v>0</v>
      </c>
      <c r="AO33" s="3" t="n">
        <f aca="false">SUM(AI33:AK33)</f>
        <v>0</v>
      </c>
    </row>
    <row r="34" customFormat="false" ht="12.5" hidden="false" customHeight="false" outlineLevel="0" collapsed="false">
      <c r="C34" s="1" t="s">
        <v>86</v>
      </c>
      <c r="Q34" s="1" t="s">
        <v>87</v>
      </c>
      <c r="Y34" s="1" t="s">
        <v>88</v>
      </c>
      <c r="Z34" s="12"/>
      <c r="AA34" s="12"/>
    </row>
    <row r="35" customFormat="false" ht="12.5" hidden="false" customHeight="false" outlineLevel="0" collapsed="false">
      <c r="B35" s="11"/>
      <c r="C35" s="1" t="s">
        <v>89</v>
      </c>
      <c r="P35" s="11"/>
      <c r="Q35" s="1" t="s">
        <v>90</v>
      </c>
      <c r="X35" s="11"/>
      <c r="Y35" s="1" t="s">
        <v>91</v>
      </c>
      <c r="AH35" s="2" t="s">
        <v>19</v>
      </c>
      <c r="AI35" s="3" t="n">
        <f aca="false">B35*2</f>
        <v>0</v>
      </c>
      <c r="AJ35" s="3" t="n">
        <f aca="false">P35*2</f>
        <v>0</v>
      </c>
      <c r="AK35" s="3" t="n">
        <f aca="false">X35*2</f>
        <v>0</v>
      </c>
      <c r="AN35" s="3" t="n">
        <f aca="false">SUM(AI35:AK35)</f>
        <v>0</v>
      </c>
    </row>
    <row r="38" customFormat="false" ht="12.5" hidden="false" customHeight="false" outlineLevel="0" collapsed="false">
      <c r="A38" s="12" t="s">
        <v>92</v>
      </c>
      <c r="B38" s="8" t="s">
        <v>93</v>
      </c>
      <c r="C38" s="8"/>
      <c r="D38" s="8"/>
      <c r="E38" s="8"/>
      <c r="F38" s="8"/>
      <c r="G38" s="8"/>
      <c r="H38" s="8"/>
      <c r="I38" s="8"/>
      <c r="J38" s="8"/>
      <c r="K38" s="8"/>
      <c r="L38" s="8"/>
      <c r="M38" s="8"/>
      <c r="O38" s="1" t="s">
        <v>94</v>
      </c>
      <c r="P38" s="1" t="s">
        <v>95</v>
      </c>
      <c r="W38" s="1" t="s">
        <v>96</v>
      </c>
      <c r="X38" s="1" t="s">
        <v>97</v>
      </c>
      <c r="AH38" s="9"/>
      <c r="AI38" s="10"/>
      <c r="AJ38" s="10"/>
      <c r="AK38" s="10"/>
      <c r="AL38" s="10"/>
      <c r="AM38" s="10"/>
      <c r="AN38" s="10"/>
      <c r="AO38" s="10"/>
      <c r="AP38" s="10"/>
      <c r="AQ38" s="10"/>
      <c r="AR38" s="10"/>
      <c r="AS38" s="10"/>
      <c r="AT38" s="10"/>
      <c r="AU38" s="10"/>
    </row>
    <row r="39" customFormat="false" ht="12.5" hidden="false" customHeight="false" outlineLevel="0" collapsed="false">
      <c r="B39" s="8"/>
      <c r="C39" s="8"/>
      <c r="D39" s="8"/>
      <c r="E39" s="8"/>
      <c r="F39" s="8"/>
      <c r="G39" s="8"/>
      <c r="H39" s="8"/>
      <c r="I39" s="8"/>
      <c r="J39" s="8"/>
      <c r="K39" s="8"/>
      <c r="L39" s="8"/>
      <c r="M39" s="8"/>
      <c r="P39" s="1" t="s">
        <v>98</v>
      </c>
      <c r="X39" s="1" t="s">
        <v>99</v>
      </c>
      <c r="AH39" s="9"/>
      <c r="AI39" s="10"/>
      <c r="AJ39" s="10"/>
      <c r="AK39" s="10"/>
      <c r="AL39" s="10"/>
      <c r="AM39" s="10"/>
      <c r="AN39" s="10"/>
      <c r="AO39" s="10"/>
      <c r="AP39" s="10"/>
      <c r="AQ39" s="10"/>
      <c r="AR39" s="10"/>
      <c r="AS39" s="10"/>
      <c r="AT39" s="10"/>
      <c r="AU39" s="10"/>
    </row>
    <row r="40" customFormat="false" ht="12.5" hidden="false" customHeight="false" outlineLevel="0" collapsed="false">
      <c r="B40" s="11"/>
      <c r="C40" s="1" t="s">
        <v>100</v>
      </c>
      <c r="P40" s="11"/>
      <c r="Q40" s="1" t="s">
        <v>100</v>
      </c>
      <c r="X40" s="11"/>
      <c r="Y40" s="1" t="s">
        <v>101</v>
      </c>
      <c r="Z40" s="12"/>
      <c r="AA40" s="12"/>
      <c r="AH40" s="2" t="s">
        <v>68</v>
      </c>
      <c r="AI40" s="3" t="n">
        <f aca="false">B40*2</f>
        <v>0</v>
      </c>
      <c r="AJ40" s="3" t="n">
        <f aca="false">P40*1</f>
        <v>0</v>
      </c>
      <c r="AK40" s="3" t="n">
        <f aca="false">X40*0</f>
        <v>0</v>
      </c>
      <c r="AT40" s="3" t="n">
        <f aca="false">SUM(AI40:AK40)</f>
        <v>0</v>
      </c>
    </row>
    <row r="41" customFormat="false" ht="12.5" hidden="false" customHeight="false" outlineLevel="0" collapsed="false">
      <c r="C41" s="1" t="s">
        <v>20</v>
      </c>
      <c r="Q41" s="1" t="s">
        <v>20</v>
      </c>
      <c r="Y41" s="1" t="s">
        <v>20</v>
      </c>
    </row>
    <row r="42" customFormat="false" ht="12.5" hidden="false" customHeight="false" outlineLevel="0" collapsed="false">
      <c r="B42" s="11"/>
      <c r="C42" s="1" t="s">
        <v>102</v>
      </c>
      <c r="P42" s="11"/>
      <c r="Q42" s="1" t="s">
        <v>103</v>
      </c>
      <c r="X42" s="11"/>
      <c r="Y42" s="1" t="s">
        <v>104</v>
      </c>
      <c r="AH42" s="2" t="s">
        <v>74</v>
      </c>
      <c r="AI42" s="3" t="n">
        <f aca="false">B42*2</f>
        <v>0</v>
      </c>
      <c r="AJ42" s="3" t="n">
        <f aca="false">P42*1</f>
        <v>0</v>
      </c>
      <c r="AK42" s="3" t="n">
        <f aca="false">X42*1</f>
        <v>0</v>
      </c>
      <c r="AU42" s="3" t="n">
        <f aca="false">SUM(AI42:AK42,AJ43:AK43)</f>
        <v>0</v>
      </c>
    </row>
    <row r="43" customFormat="false" ht="12.5" hidden="false" customHeight="false" outlineLevel="0" collapsed="false">
      <c r="P43" s="11"/>
      <c r="Q43" s="1" t="s">
        <v>105</v>
      </c>
      <c r="X43" s="11"/>
      <c r="Y43" s="1" t="s">
        <v>106</v>
      </c>
      <c r="AB43" s="12"/>
      <c r="AJ43" s="3" t="n">
        <f aca="false">P43*1</f>
        <v>0</v>
      </c>
      <c r="AK43" s="3" t="n">
        <f aca="false">X43*1</f>
        <v>0</v>
      </c>
    </row>
    <row r="44" customFormat="false" ht="12.5" hidden="false" customHeight="false" outlineLevel="0" collapsed="false">
      <c r="P44" s="13"/>
      <c r="AH44" s="9"/>
      <c r="AI44" s="10"/>
      <c r="AJ44" s="10"/>
      <c r="AK44" s="10"/>
      <c r="AL44" s="10"/>
      <c r="AM44" s="10"/>
      <c r="AN44" s="10"/>
      <c r="AO44" s="10"/>
      <c r="AP44" s="10"/>
      <c r="AQ44" s="10"/>
      <c r="AR44" s="10"/>
      <c r="AS44" s="10"/>
      <c r="AT44" s="10"/>
      <c r="AU44" s="10"/>
    </row>
    <row r="45" customFormat="false" ht="12.5" hidden="false" customHeight="false" outlineLevel="0" collapsed="false">
      <c r="A45" s="12" t="s">
        <v>107</v>
      </c>
      <c r="B45" s="8" t="s">
        <v>108</v>
      </c>
      <c r="C45" s="8"/>
      <c r="D45" s="8"/>
      <c r="E45" s="8"/>
      <c r="F45" s="8"/>
      <c r="G45" s="8"/>
      <c r="H45" s="8"/>
      <c r="I45" s="8"/>
      <c r="J45" s="8"/>
      <c r="K45" s="8"/>
      <c r="L45" s="8"/>
      <c r="M45" s="8"/>
      <c r="O45" s="1" t="s">
        <v>109</v>
      </c>
      <c r="P45" s="1" t="s">
        <v>110</v>
      </c>
      <c r="W45" s="1" t="s">
        <v>111</v>
      </c>
      <c r="X45" s="1" t="s">
        <v>112</v>
      </c>
      <c r="AH45" s="9"/>
      <c r="AI45" s="10"/>
      <c r="AJ45" s="10"/>
      <c r="AK45" s="10"/>
      <c r="AL45" s="10"/>
      <c r="AM45" s="10"/>
      <c r="AN45" s="10"/>
      <c r="AO45" s="10"/>
      <c r="AP45" s="10"/>
      <c r="AQ45" s="10"/>
      <c r="AR45" s="10"/>
      <c r="AS45" s="10"/>
      <c r="AT45" s="10"/>
      <c r="AU45" s="10"/>
    </row>
    <row r="46" customFormat="false" ht="12.5" hidden="false" customHeight="false" outlineLevel="0" collapsed="false">
      <c r="A46" s="12"/>
      <c r="B46" s="8"/>
      <c r="C46" s="8"/>
      <c r="D46" s="8"/>
      <c r="E46" s="8"/>
      <c r="F46" s="8"/>
      <c r="G46" s="8"/>
      <c r="H46" s="8"/>
      <c r="I46" s="8"/>
      <c r="J46" s="8"/>
      <c r="K46" s="8"/>
      <c r="L46" s="8"/>
      <c r="M46" s="8"/>
    </row>
    <row r="47" customFormat="false" ht="12.5" hidden="false" customHeight="false" outlineLevel="0" collapsed="false">
      <c r="B47" s="11"/>
      <c r="C47" s="1" t="s">
        <v>113</v>
      </c>
      <c r="P47" s="11"/>
      <c r="Q47" s="1" t="s">
        <v>114</v>
      </c>
      <c r="X47" s="11"/>
      <c r="Y47" s="1" t="s">
        <v>115</v>
      </c>
      <c r="AH47" s="2" t="s">
        <v>38</v>
      </c>
      <c r="AI47" s="3" t="n">
        <f aca="false">B47*2</f>
        <v>0</v>
      </c>
      <c r="AJ47" s="3" t="n">
        <f aca="false">P47*1</f>
        <v>0</v>
      </c>
      <c r="AK47" s="3" t="n">
        <f aca="false">X47*0</f>
        <v>0</v>
      </c>
      <c r="AQ47" s="3" t="n">
        <f aca="false">SUM(AI47:AK47)</f>
        <v>0</v>
      </c>
    </row>
    <row r="48" customFormat="false" ht="12.5" hidden="false" customHeight="false" outlineLevel="0" collapsed="false">
      <c r="C48" s="1" t="s">
        <v>20</v>
      </c>
      <c r="Q48" s="1" t="s">
        <v>20</v>
      </c>
      <c r="Y48" s="1" t="s">
        <v>20</v>
      </c>
    </row>
    <row r="49" customFormat="false" ht="12.5" hidden="false" customHeight="false" outlineLevel="0" collapsed="false">
      <c r="B49" s="11"/>
      <c r="C49" s="1" t="s">
        <v>116</v>
      </c>
      <c r="P49" s="11"/>
      <c r="Q49" s="1" t="s">
        <v>117</v>
      </c>
      <c r="X49" s="11"/>
      <c r="Y49" s="1" t="s">
        <v>118</v>
      </c>
      <c r="AB49" s="12"/>
      <c r="AH49" s="2" t="s">
        <v>34</v>
      </c>
      <c r="AI49" s="3" t="n">
        <f aca="false">B49*1</f>
        <v>0</v>
      </c>
      <c r="AJ49" s="3" t="n">
        <f aca="false">P49*2</f>
        <v>0</v>
      </c>
      <c r="AK49" s="3" t="n">
        <f aca="false">X49*1</f>
        <v>0</v>
      </c>
      <c r="AP49" s="3" t="n">
        <f aca="false">SUM(AI49:AK49)</f>
        <v>0</v>
      </c>
    </row>
    <row r="50" customFormat="false" ht="12.5" hidden="false" customHeight="false" outlineLevel="0" collapsed="false">
      <c r="P50" s="13"/>
      <c r="Y50" s="1" t="s">
        <v>119</v>
      </c>
      <c r="AH50" s="9"/>
      <c r="AI50" s="10"/>
      <c r="AJ50" s="10"/>
      <c r="AK50" s="10"/>
      <c r="AL50" s="10"/>
      <c r="AM50" s="10"/>
      <c r="AN50" s="10"/>
      <c r="AO50" s="10"/>
      <c r="AP50" s="10"/>
      <c r="AQ50" s="10"/>
      <c r="AR50" s="10"/>
      <c r="AS50" s="10"/>
      <c r="AT50" s="10"/>
      <c r="AU50" s="10"/>
    </row>
    <row r="51" customFormat="false" ht="12.5" hidden="false" customHeight="false" outlineLevel="0" collapsed="false">
      <c r="P51" s="13"/>
      <c r="AH51" s="9"/>
      <c r="AI51" s="10"/>
      <c r="AJ51" s="10"/>
      <c r="AK51" s="10"/>
      <c r="AL51" s="10"/>
      <c r="AM51" s="10"/>
      <c r="AN51" s="10"/>
      <c r="AO51" s="10"/>
      <c r="AP51" s="10"/>
      <c r="AQ51" s="10"/>
      <c r="AR51" s="10"/>
      <c r="AS51" s="10"/>
      <c r="AT51" s="10"/>
      <c r="AU51" s="10"/>
    </row>
    <row r="52" customFormat="false" ht="12.5" hidden="false" customHeight="false" outlineLevel="0" collapsed="false">
      <c r="P52" s="13"/>
      <c r="AH52" s="9"/>
      <c r="AI52" s="10"/>
      <c r="AJ52" s="10"/>
      <c r="AK52" s="10"/>
      <c r="AL52" s="10"/>
      <c r="AM52" s="10"/>
      <c r="AN52" s="10"/>
      <c r="AO52" s="10"/>
      <c r="AP52" s="10"/>
      <c r="AQ52" s="10"/>
      <c r="AR52" s="10"/>
      <c r="AS52" s="10"/>
      <c r="AT52" s="10"/>
      <c r="AU52" s="10"/>
    </row>
    <row r="53" customFormat="false" ht="12.5" hidden="false" customHeight="false" outlineLevel="0" collapsed="false">
      <c r="A53" s="12" t="s">
        <v>120</v>
      </c>
      <c r="B53" s="8" t="s">
        <v>121</v>
      </c>
      <c r="C53" s="8"/>
      <c r="D53" s="8"/>
      <c r="E53" s="8"/>
      <c r="F53" s="8"/>
      <c r="G53" s="8"/>
      <c r="H53" s="8"/>
      <c r="I53" s="8"/>
      <c r="J53" s="8"/>
      <c r="K53" s="8"/>
      <c r="L53" s="8"/>
      <c r="M53" s="8"/>
      <c r="O53" s="1" t="s">
        <v>122</v>
      </c>
      <c r="P53" s="1" t="s">
        <v>123</v>
      </c>
      <c r="W53" s="13" t="s">
        <v>124</v>
      </c>
      <c r="X53" s="13" t="s">
        <v>125</v>
      </c>
      <c r="Y53" s="13"/>
      <c r="AH53" s="9"/>
      <c r="AI53" s="10"/>
      <c r="AJ53" s="10"/>
      <c r="AK53" s="10"/>
      <c r="AL53" s="10"/>
      <c r="AM53" s="10"/>
      <c r="AN53" s="10"/>
      <c r="AO53" s="10"/>
      <c r="AP53" s="10"/>
      <c r="AQ53" s="10"/>
      <c r="AR53" s="10"/>
      <c r="AS53" s="10"/>
      <c r="AT53" s="10"/>
      <c r="AU53" s="10"/>
    </row>
    <row r="54" customFormat="false" ht="12.5" hidden="false" customHeight="false" outlineLevel="0" collapsed="false">
      <c r="A54" s="12"/>
      <c r="B54" s="8"/>
      <c r="C54" s="8"/>
      <c r="D54" s="8"/>
      <c r="E54" s="8"/>
      <c r="F54" s="8"/>
      <c r="G54" s="8"/>
      <c r="H54" s="8"/>
      <c r="I54" s="8"/>
      <c r="J54" s="8"/>
      <c r="K54" s="8"/>
      <c r="L54" s="8"/>
      <c r="M54" s="8"/>
    </row>
    <row r="55" customFormat="false" ht="12.5" hidden="false" customHeight="false" outlineLevel="0" collapsed="false">
      <c r="B55" s="11"/>
      <c r="C55" s="1" t="s">
        <v>126</v>
      </c>
      <c r="P55" s="11"/>
      <c r="Q55" s="1" t="s">
        <v>127</v>
      </c>
      <c r="X55" s="11"/>
      <c r="Y55" s="1" t="s">
        <v>128</v>
      </c>
      <c r="AH55" s="2" t="s">
        <v>74</v>
      </c>
      <c r="AI55" s="3" t="n">
        <f aca="false">B55*1</f>
        <v>0</v>
      </c>
      <c r="AJ55" s="3" t="n">
        <f aca="false">P55*1</f>
        <v>0</v>
      </c>
      <c r="AK55" s="3" t="n">
        <f aca="false">X55*1</f>
        <v>0</v>
      </c>
      <c r="AU55" s="3" t="n">
        <f aca="false">SUM(AI55:AK55)</f>
        <v>0</v>
      </c>
    </row>
    <row r="56" customFormat="false" ht="12.5" hidden="false" customHeight="false" outlineLevel="0" collapsed="false">
      <c r="C56" s="1" t="s">
        <v>20</v>
      </c>
      <c r="Q56" s="1" t="s">
        <v>129</v>
      </c>
      <c r="Y56" s="1" t="s">
        <v>130</v>
      </c>
      <c r="AB56" s="12"/>
    </row>
    <row r="57" customFormat="false" ht="12.5" hidden="false" customHeight="false" outlineLevel="0" collapsed="false">
      <c r="B57" s="11"/>
      <c r="C57" s="1" t="s">
        <v>131</v>
      </c>
      <c r="P57" s="11"/>
      <c r="Q57" s="1" t="s">
        <v>132</v>
      </c>
      <c r="X57" s="11"/>
      <c r="Y57" s="1" t="s">
        <v>133</v>
      </c>
      <c r="Z57" s="12"/>
      <c r="AA57" s="12"/>
      <c r="AB57" s="12"/>
      <c r="AH57" s="2" t="s">
        <v>68</v>
      </c>
      <c r="AI57" s="3" t="n">
        <f aca="false">B57*1</f>
        <v>0</v>
      </c>
      <c r="AJ57" s="3" t="n">
        <f aca="false">P57*1</f>
        <v>0</v>
      </c>
      <c r="AK57" s="3" t="n">
        <f aca="false">X57*1</f>
        <v>0</v>
      </c>
      <c r="AT57" s="3" t="n">
        <f aca="false">SUM(AI57:AK57)</f>
        <v>0</v>
      </c>
    </row>
    <row r="58" customFormat="false" ht="12.5" hidden="false" customHeight="false" outlineLevel="0" collapsed="false">
      <c r="P58" s="13"/>
      <c r="Q58" s="1" t="s">
        <v>134</v>
      </c>
      <c r="Y58" s="1" t="s">
        <v>135</v>
      </c>
      <c r="AH58" s="9"/>
      <c r="AI58" s="10"/>
      <c r="AJ58" s="10"/>
      <c r="AK58" s="10"/>
      <c r="AL58" s="10"/>
      <c r="AM58" s="10"/>
      <c r="AN58" s="10"/>
      <c r="AO58" s="10"/>
      <c r="AP58" s="10"/>
      <c r="AQ58" s="10"/>
      <c r="AR58" s="10"/>
      <c r="AS58" s="10"/>
      <c r="AT58" s="10"/>
      <c r="AU58" s="10"/>
    </row>
    <row r="59" customFormat="false" ht="12.5" hidden="false" customHeight="false" outlineLevel="0" collapsed="false">
      <c r="P59" s="13"/>
      <c r="AH59" s="9"/>
      <c r="AI59" s="10"/>
      <c r="AJ59" s="10"/>
      <c r="AK59" s="10"/>
      <c r="AL59" s="10"/>
      <c r="AM59" s="10"/>
      <c r="AN59" s="10"/>
      <c r="AO59" s="10"/>
      <c r="AP59" s="10"/>
      <c r="AQ59" s="10"/>
      <c r="AR59" s="10"/>
      <c r="AS59" s="10"/>
      <c r="AT59" s="10"/>
      <c r="AU59" s="10"/>
    </row>
    <row r="60" customFormat="false" ht="12.5" hidden="false" customHeight="false" outlineLevel="0" collapsed="false">
      <c r="A60" s="12" t="s">
        <v>136</v>
      </c>
      <c r="B60" s="8" t="s">
        <v>137</v>
      </c>
      <c r="C60" s="8"/>
      <c r="D60" s="8"/>
      <c r="E60" s="8"/>
      <c r="F60" s="8"/>
      <c r="G60" s="8"/>
      <c r="H60" s="8"/>
      <c r="I60" s="8"/>
      <c r="J60" s="8"/>
      <c r="K60" s="8"/>
      <c r="L60" s="8"/>
      <c r="M60" s="8"/>
      <c r="O60" s="1" t="s">
        <v>138</v>
      </c>
      <c r="P60" s="1" t="s">
        <v>139</v>
      </c>
      <c r="W60" s="1" t="s">
        <v>140</v>
      </c>
      <c r="X60" s="1" t="s">
        <v>141</v>
      </c>
      <c r="AH60" s="9"/>
      <c r="AI60" s="10"/>
      <c r="AJ60" s="10"/>
      <c r="AK60" s="10"/>
      <c r="AL60" s="10"/>
      <c r="AM60" s="10"/>
      <c r="AN60" s="10"/>
      <c r="AO60" s="10"/>
      <c r="AP60" s="10"/>
      <c r="AQ60" s="10"/>
      <c r="AR60" s="10"/>
      <c r="AS60" s="10"/>
      <c r="AT60" s="10"/>
      <c r="AU60" s="10"/>
    </row>
    <row r="61" customFormat="false" ht="12.5" hidden="false" customHeight="false" outlineLevel="0" collapsed="false">
      <c r="A61" s="12"/>
      <c r="B61" s="8" t="s">
        <v>142</v>
      </c>
      <c r="C61" s="8"/>
      <c r="D61" s="8"/>
      <c r="E61" s="8"/>
      <c r="F61" s="8"/>
      <c r="G61" s="8"/>
      <c r="H61" s="8"/>
      <c r="I61" s="8"/>
      <c r="J61" s="8"/>
      <c r="K61" s="8"/>
      <c r="L61" s="8"/>
      <c r="M61" s="8"/>
    </row>
    <row r="62" customFormat="false" ht="12.5" hidden="false" customHeight="false" outlineLevel="0" collapsed="false">
      <c r="B62" s="11"/>
      <c r="C62" s="1" t="s">
        <v>143</v>
      </c>
      <c r="P62" s="11"/>
      <c r="Q62" s="1" t="s">
        <v>144</v>
      </c>
      <c r="X62" s="11"/>
      <c r="Y62" s="1" t="s">
        <v>145</v>
      </c>
      <c r="AB62" s="12"/>
      <c r="AH62" s="2" t="s">
        <v>19</v>
      </c>
      <c r="AI62" s="3" t="n">
        <f aca="false">B62*1</f>
        <v>0</v>
      </c>
      <c r="AJ62" s="3" t="n">
        <f aca="false">P62*1</f>
        <v>0</v>
      </c>
      <c r="AK62" s="3" t="n">
        <f aca="false">X62*1</f>
        <v>0</v>
      </c>
      <c r="AN62" s="3" t="n">
        <f aca="false">SUM(AI62:AK62)</f>
        <v>0</v>
      </c>
    </row>
    <row r="63" customFormat="false" ht="12.5" hidden="false" customHeight="false" outlineLevel="0" collapsed="false">
      <c r="C63" s="1" t="s">
        <v>20</v>
      </c>
      <c r="Q63" s="1" t="s">
        <v>146</v>
      </c>
      <c r="Y63" s="1" t="s">
        <v>20</v>
      </c>
      <c r="AB63" s="12"/>
    </row>
    <row r="64" customFormat="false" ht="12.5" hidden="false" customHeight="false" outlineLevel="0" collapsed="false">
      <c r="B64" s="11"/>
      <c r="C64" s="1" t="s">
        <v>147</v>
      </c>
      <c r="P64" s="11"/>
      <c r="Q64" s="1" t="s">
        <v>148</v>
      </c>
      <c r="X64" s="11"/>
      <c r="Y64" s="1" t="s">
        <v>149</v>
      </c>
      <c r="AH64" s="2" t="s">
        <v>85</v>
      </c>
      <c r="AI64" s="3" t="n">
        <f aca="false">B64*1</f>
        <v>0</v>
      </c>
      <c r="AJ64" s="3" t="n">
        <f aca="false">P64*0</f>
        <v>0</v>
      </c>
      <c r="AK64" s="3" t="n">
        <f aca="false">X64*2</f>
        <v>0</v>
      </c>
      <c r="AO64" s="3" t="n">
        <f aca="false">SUM(AI64:AK64,AJ65)</f>
        <v>0</v>
      </c>
    </row>
    <row r="65" customFormat="false" ht="12.5" hidden="false" customHeight="false" outlineLevel="0" collapsed="false">
      <c r="C65" s="1" t="s">
        <v>150</v>
      </c>
      <c r="P65" s="11"/>
      <c r="Q65" s="1" t="s">
        <v>151</v>
      </c>
      <c r="Y65" s="1" t="s">
        <v>152</v>
      </c>
      <c r="AH65" s="9"/>
      <c r="AI65" s="10"/>
      <c r="AJ65" s="3" t="n">
        <f aca="false">P65*2</f>
        <v>0</v>
      </c>
      <c r="AK65" s="10"/>
      <c r="AL65" s="10"/>
      <c r="AM65" s="10"/>
      <c r="AN65" s="10"/>
      <c r="AO65" s="10"/>
      <c r="AP65" s="10"/>
      <c r="AQ65" s="10"/>
      <c r="AR65" s="10"/>
      <c r="AS65" s="10"/>
      <c r="AT65" s="10"/>
      <c r="AU65" s="10"/>
    </row>
    <row r="66" customFormat="false" ht="12.5" hidden="false" customHeight="false" outlineLevel="0" collapsed="false">
      <c r="Q66" s="1" t="s">
        <v>153</v>
      </c>
      <c r="AH66" s="9"/>
      <c r="AI66" s="10"/>
      <c r="AJ66" s="10"/>
      <c r="AK66" s="10"/>
      <c r="AL66" s="10"/>
      <c r="AM66" s="10"/>
      <c r="AN66" s="10"/>
      <c r="AO66" s="10"/>
      <c r="AP66" s="10"/>
      <c r="AQ66" s="10"/>
      <c r="AR66" s="10"/>
      <c r="AS66" s="10"/>
      <c r="AT66" s="10"/>
      <c r="AU66" s="10"/>
    </row>
    <row r="68" customFormat="false" ht="12.5" hidden="false" customHeight="false" outlineLevel="0" collapsed="false">
      <c r="A68" s="12" t="s">
        <v>154</v>
      </c>
      <c r="B68" s="8" t="s">
        <v>155</v>
      </c>
      <c r="C68" s="8"/>
      <c r="D68" s="8"/>
      <c r="E68" s="8"/>
      <c r="F68" s="8"/>
      <c r="G68" s="8"/>
      <c r="H68" s="8"/>
      <c r="I68" s="8"/>
      <c r="J68" s="8"/>
      <c r="K68" s="8"/>
      <c r="L68" s="8"/>
      <c r="M68" s="8"/>
    </row>
    <row r="69" customFormat="false" ht="12.5" hidden="false" customHeight="false" outlineLevel="0" collapsed="false">
      <c r="A69" s="12"/>
      <c r="B69" s="8"/>
      <c r="C69" s="8"/>
      <c r="D69" s="8"/>
      <c r="E69" s="8"/>
      <c r="F69" s="8"/>
      <c r="G69" s="8"/>
      <c r="H69" s="8"/>
      <c r="I69" s="8"/>
      <c r="J69" s="8"/>
      <c r="K69" s="8"/>
      <c r="L69" s="8"/>
      <c r="M69" s="8"/>
    </row>
    <row r="70" customFormat="false" ht="12.5" hidden="false" customHeight="false" outlineLevel="0" collapsed="false">
      <c r="B70" s="11"/>
      <c r="C70" s="1" t="s">
        <v>156</v>
      </c>
      <c r="AH70" s="2" t="s">
        <v>55</v>
      </c>
      <c r="AI70" s="3" t="n">
        <f aca="false">B70*2</f>
        <v>0</v>
      </c>
      <c r="AR70" s="3" t="n">
        <f aca="false">SUM(AI70)</f>
        <v>0</v>
      </c>
    </row>
    <row r="71" customFormat="false" ht="12.5" hidden="false" customHeight="false" outlineLevel="0" collapsed="false">
      <c r="C71" s="1" t="s">
        <v>20</v>
      </c>
    </row>
    <row r="72" customFormat="false" ht="12.5" hidden="false" customHeight="false" outlineLevel="0" collapsed="false">
      <c r="B72" s="11"/>
      <c r="C72" s="1" t="s">
        <v>157</v>
      </c>
      <c r="AH72" s="2" t="s">
        <v>50</v>
      </c>
      <c r="AI72" s="3" t="n">
        <f aca="false">B72*0</f>
        <v>0</v>
      </c>
      <c r="AS72" s="3" t="n">
        <f aca="false">SUM(AI72)</f>
        <v>0</v>
      </c>
    </row>
    <row r="73" customFormat="false" ht="12.5" hidden="false" customHeight="false" outlineLevel="0" collapsed="false">
      <c r="B73" s="13"/>
    </row>
    <row r="75" customFormat="false" ht="15.5" hidden="false" customHeight="false" outlineLevel="0" collapsed="false">
      <c r="A75" s="4" t="s">
        <v>158</v>
      </c>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row>
    <row r="76" customFormat="false" ht="15.5" hidden="false" customHeight="false" outlineLevel="0" collapsed="false">
      <c r="A76" s="4" t="s">
        <v>159</v>
      </c>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row>
    <row r="78" customFormat="false" ht="12.5" hidden="false" customHeight="false" outlineLevel="0" collapsed="false">
      <c r="A78" s="1" t="s">
        <v>160</v>
      </c>
      <c r="B78" s="11"/>
      <c r="C78" s="1" t="s">
        <v>161</v>
      </c>
      <c r="K78" s="1" t="s">
        <v>162</v>
      </c>
      <c r="L78" s="11"/>
      <c r="M78" s="1" t="s">
        <v>163</v>
      </c>
      <c r="S78" s="1" t="s">
        <v>164</v>
      </c>
      <c r="T78" s="11"/>
      <c r="U78" s="1" t="s">
        <v>165</v>
      </c>
      <c r="AA78" s="1" t="s">
        <v>166</v>
      </c>
      <c r="AB78" s="11"/>
      <c r="AC78" s="1" t="s">
        <v>167</v>
      </c>
      <c r="AH78" s="2" t="s">
        <v>34</v>
      </c>
      <c r="AI78" s="3" t="n">
        <f aca="false">B78*2</f>
        <v>0</v>
      </c>
      <c r="AJ78" s="3" t="n">
        <f aca="false">L78*2</f>
        <v>0</v>
      </c>
      <c r="AK78" s="3" t="n">
        <f aca="false">T78*1</f>
        <v>0</v>
      </c>
      <c r="AL78" s="3" t="n">
        <f aca="false">AB78*1</f>
        <v>0</v>
      </c>
      <c r="AP78" s="3" t="n">
        <f aca="false">SUM(AI78:AL78)</f>
        <v>0</v>
      </c>
    </row>
    <row r="79" customFormat="false" ht="12.5" hidden="false" customHeight="false" outlineLevel="0" collapsed="false">
      <c r="B79" s="11"/>
      <c r="C79" s="1" t="s">
        <v>168</v>
      </c>
      <c r="L79" s="11"/>
      <c r="M79" s="1" t="s">
        <v>169</v>
      </c>
      <c r="T79" s="11"/>
      <c r="U79" s="1" t="s">
        <v>170</v>
      </c>
      <c r="AB79" s="11"/>
      <c r="AC79" s="1" t="s">
        <v>171</v>
      </c>
      <c r="AH79" s="2" t="s">
        <v>38</v>
      </c>
      <c r="AI79" s="3" t="n">
        <f aca="false">B79*0</f>
        <v>0</v>
      </c>
      <c r="AJ79" s="3" t="n">
        <f aca="false">L79*0</f>
        <v>0</v>
      </c>
      <c r="AK79" s="3" t="n">
        <f aca="false">T79*0</f>
        <v>0</v>
      </c>
      <c r="AL79" s="3" t="n">
        <f aca="false">AB79*2</f>
        <v>0</v>
      </c>
      <c r="AQ79" s="3" t="n">
        <f aca="false">SUM(AI79:AL79)</f>
        <v>0</v>
      </c>
    </row>
    <row r="80" customFormat="false" ht="12.5" hidden="false" customHeight="false" outlineLevel="0" collapsed="false">
      <c r="AB80" s="13"/>
    </row>
    <row r="81" customFormat="false" ht="12.5" hidden="false" customHeight="false" outlineLevel="0" collapsed="false">
      <c r="A81" s="1" t="s">
        <v>172</v>
      </c>
      <c r="B81" s="11"/>
      <c r="C81" s="1" t="s">
        <v>173</v>
      </c>
      <c r="K81" s="1" t="s">
        <v>174</v>
      </c>
      <c r="L81" s="11"/>
      <c r="M81" s="1" t="s">
        <v>175</v>
      </c>
      <c r="S81" s="1" t="s">
        <v>176</v>
      </c>
      <c r="T81" s="11"/>
      <c r="U81" s="1" t="s">
        <v>177</v>
      </c>
      <c r="AA81" s="1" t="s">
        <v>178</v>
      </c>
      <c r="AB81" s="11"/>
      <c r="AC81" s="1" t="s">
        <v>179</v>
      </c>
      <c r="AH81" s="2" t="s">
        <v>55</v>
      </c>
      <c r="AI81" s="3" t="n">
        <f aca="false">B81*1</f>
        <v>0</v>
      </c>
      <c r="AJ81" s="3" t="n">
        <f aca="false">L81*2</f>
        <v>0</v>
      </c>
      <c r="AK81" s="3" t="n">
        <f aca="false">T81*2</f>
        <v>0</v>
      </c>
      <c r="AL81" s="3" t="n">
        <f aca="false">AB81*2</f>
        <v>0</v>
      </c>
      <c r="AR81" s="3" t="n">
        <f aca="false">SUM(AI81:AL81)</f>
        <v>0</v>
      </c>
    </row>
    <row r="82" customFormat="false" ht="12.5" hidden="false" customHeight="false" outlineLevel="0" collapsed="false">
      <c r="B82" s="11"/>
      <c r="C82" s="1" t="s">
        <v>180</v>
      </c>
      <c r="L82" s="11"/>
      <c r="M82" s="1" t="s">
        <v>181</v>
      </c>
      <c r="T82" s="11"/>
      <c r="U82" s="1" t="s">
        <v>182</v>
      </c>
      <c r="AB82" s="11"/>
      <c r="AC82" s="1" t="s">
        <v>183</v>
      </c>
      <c r="AH82" s="2" t="s">
        <v>50</v>
      </c>
      <c r="AI82" s="3" t="n">
        <f aca="false">B82*1</f>
        <v>0</v>
      </c>
      <c r="AJ82" s="3" t="n">
        <f aca="false">L82*0</f>
        <v>0</v>
      </c>
      <c r="AK82" s="3" t="n">
        <f aca="false">T82*0</f>
        <v>0</v>
      </c>
      <c r="AL82" s="3" t="n">
        <f aca="false">AB82*0</f>
        <v>0</v>
      </c>
      <c r="AS82" s="3" t="n">
        <f aca="false">SUM(AI82:AL82)</f>
        <v>0</v>
      </c>
    </row>
    <row r="84" customFormat="false" ht="12.5" hidden="false" customHeight="false" outlineLevel="0" collapsed="false">
      <c r="A84" s="1" t="s">
        <v>184</v>
      </c>
      <c r="B84" s="11"/>
      <c r="C84" s="1" t="s">
        <v>185</v>
      </c>
      <c r="K84" s="1" t="s">
        <v>186</v>
      </c>
      <c r="L84" s="11"/>
      <c r="M84" s="1" t="s">
        <v>187</v>
      </c>
      <c r="S84" s="1" t="s">
        <v>188</v>
      </c>
      <c r="T84" s="11"/>
      <c r="U84" s="1" t="s">
        <v>187</v>
      </c>
      <c r="AA84" s="1" t="s">
        <v>189</v>
      </c>
      <c r="AB84" s="11"/>
      <c r="AC84" s="14" t="s">
        <v>190</v>
      </c>
      <c r="AH84" s="2" t="s">
        <v>68</v>
      </c>
      <c r="AI84" s="3" t="n">
        <f aca="false">B84*2</f>
        <v>0</v>
      </c>
      <c r="AJ84" s="3" t="n">
        <f aca="false">L84*2</f>
        <v>0</v>
      </c>
      <c r="AK84" s="3" t="n">
        <f aca="false">T84*2</f>
        <v>0</v>
      </c>
      <c r="AL84" s="3" t="n">
        <f aca="false">AB84*1</f>
        <v>0</v>
      </c>
      <c r="AT84" s="3" t="n">
        <f aca="false">SUM(AI84:AL84)</f>
        <v>0</v>
      </c>
    </row>
    <row r="85" customFormat="false" ht="12.5" hidden="false" customHeight="false" outlineLevel="0" collapsed="false">
      <c r="B85" s="15"/>
      <c r="C85" s="1" t="s">
        <v>191</v>
      </c>
      <c r="L85" s="11"/>
      <c r="M85" s="1" t="s">
        <v>192</v>
      </c>
      <c r="T85" s="11"/>
      <c r="U85" s="1" t="s">
        <v>193</v>
      </c>
      <c r="AB85" s="11"/>
      <c r="AC85" s="1" t="s">
        <v>194</v>
      </c>
      <c r="AH85" s="2" t="s">
        <v>74</v>
      </c>
      <c r="AI85" s="3" t="n">
        <f aca="false">B85*2</f>
        <v>0</v>
      </c>
      <c r="AJ85" s="3" t="n">
        <f aca="false">L85*2</f>
        <v>0</v>
      </c>
      <c r="AK85" s="3" t="n">
        <f aca="false">T85*2</f>
        <v>0</v>
      </c>
      <c r="AL85" s="3" t="n">
        <f aca="false">AB85*2</f>
        <v>0</v>
      </c>
      <c r="AU85" s="3" t="n">
        <f aca="false">SUM(AI85:AL85)</f>
        <v>0</v>
      </c>
    </row>
    <row r="87" customFormat="false" ht="12.5" hidden="false" customHeight="false" outlineLevel="0" collapsed="false">
      <c r="A87" s="1" t="s">
        <v>195</v>
      </c>
      <c r="B87" s="11"/>
      <c r="C87" s="1" t="s">
        <v>196</v>
      </c>
      <c r="K87" s="1" t="s">
        <v>197</v>
      </c>
      <c r="L87" s="11"/>
      <c r="M87" s="1" t="s">
        <v>198</v>
      </c>
      <c r="S87" s="1" t="s">
        <v>199</v>
      </c>
      <c r="T87" s="11"/>
      <c r="U87" s="1" t="s">
        <v>200</v>
      </c>
      <c r="AA87" s="1" t="s">
        <v>201</v>
      </c>
      <c r="AB87" s="11"/>
      <c r="AC87" s="1" t="s">
        <v>202</v>
      </c>
      <c r="AH87" s="2" t="s">
        <v>38</v>
      </c>
      <c r="AI87" s="3" t="n">
        <f aca="false">B87*1</f>
        <v>0</v>
      </c>
      <c r="AJ87" s="3" t="n">
        <f aca="false">L87*2</f>
        <v>0</v>
      </c>
      <c r="AK87" s="3" t="n">
        <f aca="false">T87*2</f>
        <v>0</v>
      </c>
      <c r="AL87" s="3" t="n">
        <f aca="false">AB87*0</f>
        <v>0</v>
      </c>
      <c r="AQ87" s="3" t="n">
        <f aca="false">SUM(AI87:AL87)</f>
        <v>0</v>
      </c>
    </row>
    <row r="88" customFormat="false" ht="12.5" hidden="false" customHeight="false" outlineLevel="0" collapsed="false">
      <c r="B88" s="11"/>
      <c r="C88" s="1" t="s">
        <v>203</v>
      </c>
      <c r="L88" s="11"/>
      <c r="M88" s="1" t="s">
        <v>204</v>
      </c>
      <c r="T88" s="11"/>
      <c r="U88" s="1" t="s">
        <v>205</v>
      </c>
      <c r="AB88" s="11"/>
      <c r="AC88" s="1" t="s">
        <v>206</v>
      </c>
      <c r="AH88" s="2" t="s">
        <v>34</v>
      </c>
      <c r="AI88" s="3" t="n">
        <f aca="false">B88*2</f>
        <v>0</v>
      </c>
      <c r="AJ88" s="3" t="n">
        <f aca="false">L88*0</f>
        <v>0</v>
      </c>
      <c r="AK88" s="3" t="n">
        <f aca="false">T88*0</f>
        <v>0</v>
      </c>
      <c r="AL88" s="3" t="n">
        <f aca="false">AB88*1</f>
        <v>0</v>
      </c>
      <c r="AP88" s="3" t="n">
        <f aca="false">SUM(AI88:AL88)</f>
        <v>0</v>
      </c>
    </row>
    <row r="90" customFormat="false" ht="12.5" hidden="false" customHeight="false" outlineLevel="0" collapsed="false">
      <c r="A90" s="1" t="s">
        <v>207</v>
      </c>
      <c r="B90" s="11"/>
      <c r="C90" s="1" t="s">
        <v>208</v>
      </c>
      <c r="K90" s="1" t="s">
        <v>209</v>
      </c>
      <c r="L90" s="11"/>
      <c r="M90" s="1" t="s">
        <v>210</v>
      </c>
      <c r="S90" s="1" t="s">
        <v>211</v>
      </c>
      <c r="T90" s="11"/>
      <c r="U90" s="1" t="s">
        <v>212</v>
      </c>
      <c r="AA90" s="1" t="s">
        <v>213</v>
      </c>
      <c r="AB90" s="11"/>
      <c r="AC90" s="1" t="s">
        <v>214</v>
      </c>
      <c r="AH90" s="2" t="s">
        <v>50</v>
      </c>
      <c r="AI90" s="3" t="n">
        <f aca="false">B90*1</f>
        <v>0</v>
      </c>
      <c r="AJ90" s="3" t="n">
        <f aca="false">L90*0</f>
        <v>0</v>
      </c>
      <c r="AK90" s="3" t="n">
        <f aca="false">T90*1</f>
        <v>0</v>
      </c>
      <c r="AL90" s="3" t="n">
        <f aca="false">AB90*0</f>
        <v>0</v>
      </c>
      <c r="AS90" s="3" t="n">
        <f aca="false">SUM(AI90:AL90)</f>
        <v>0</v>
      </c>
    </row>
    <row r="91" customFormat="false" ht="12.5" hidden="false" customHeight="false" outlineLevel="0" collapsed="false">
      <c r="B91" s="11"/>
      <c r="C91" s="1" t="s">
        <v>215</v>
      </c>
      <c r="L91" s="11"/>
      <c r="M91" s="1" t="s">
        <v>216</v>
      </c>
      <c r="T91" s="11"/>
      <c r="U91" s="1" t="s">
        <v>217</v>
      </c>
      <c r="AB91" s="11"/>
      <c r="AC91" s="1" t="s">
        <v>218</v>
      </c>
      <c r="AH91" s="2" t="s">
        <v>55</v>
      </c>
      <c r="AI91" s="3" t="n">
        <f aca="false">B91*1</f>
        <v>0</v>
      </c>
      <c r="AJ91" s="3" t="n">
        <f aca="false">L91*2</f>
        <v>0</v>
      </c>
      <c r="AK91" s="3" t="n">
        <f aca="false">T91*2</f>
        <v>0</v>
      </c>
      <c r="AL91" s="3" t="n">
        <f aca="false">AB91*2</f>
        <v>0</v>
      </c>
      <c r="AR91" s="3" t="n">
        <f aca="false">SUM(AI91:AL91)</f>
        <v>0</v>
      </c>
    </row>
    <row r="93" customFormat="false" ht="12.5" hidden="false" customHeight="false" outlineLevel="0" collapsed="false">
      <c r="A93" s="1" t="s">
        <v>219</v>
      </c>
      <c r="B93" s="11"/>
      <c r="C93" s="1" t="s">
        <v>220</v>
      </c>
      <c r="K93" s="1" t="s">
        <v>221</v>
      </c>
      <c r="L93" s="11"/>
      <c r="M93" s="1" t="s">
        <v>222</v>
      </c>
      <c r="S93" s="1" t="s">
        <v>223</v>
      </c>
      <c r="T93" s="11"/>
      <c r="U93" s="1" t="s">
        <v>224</v>
      </c>
      <c r="AA93" s="1" t="s">
        <v>225</v>
      </c>
      <c r="AB93" s="11"/>
      <c r="AC93" s="1" t="s">
        <v>226</v>
      </c>
      <c r="AH93" s="2" t="s">
        <v>19</v>
      </c>
      <c r="AI93" s="3" t="n">
        <f aca="false">B93*2</f>
        <v>0</v>
      </c>
      <c r="AJ93" s="3" t="n">
        <f aca="false">L93*1</f>
        <v>0</v>
      </c>
      <c r="AK93" s="3" t="n">
        <f aca="false">T93*0</f>
        <v>0</v>
      </c>
      <c r="AL93" s="3" t="n">
        <f aca="false">AB93*1</f>
        <v>0</v>
      </c>
      <c r="AN93" s="3" t="n">
        <f aca="false">SUM(AI93:AL93)</f>
        <v>0</v>
      </c>
    </row>
    <row r="94" customFormat="false" ht="12.5" hidden="false" customHeight="false" outlineLevel="0" collapsed="false">
      <c r="B94" s="11"/>
      <c r="C94" s="1" t="s">
        <v>227</v>
      </c>
      <c r="L94" s="11"/>
      <c r="M94" s="1" t="s">
        <v>228</v>
      </c>
      <c r="T94" s="11"/>
      <c r="U94" s="1" t="s">
        <v>229</v>
      </c>
      <c r="AB94" s="11"/>
      <c r="AC94" s="1" t="s">
        <v>230</v>
      </c>
      <c r="AH94" s="2" t="s">
        <v>85</v>
      </c>
      <c r="AI94" s="3" t="n">
        <f aca="false">B94*1</f>
        <v>0</v>
      </c>
      <c r="AJ94" s="3" t="n">
        <f aca="false">L94*1</f>
        <v>0</v>
      </c>
      <c r="AK94" s="3" t="n">
        <f aca="false">T94*1</f>
        <v>0</v>
      </c>
      <c r="AL94" s="3" t="n">
        <f aca="false">AB94*1</f>
        <v>0</v>
      </c>
      <c r="AO94" s="3" t="n">
        <f aca="false">SUM(AI94:AL94)</f>
        <v>0</v>
      </c>
    </row>
    <row r="95" customFormat="false" ht="15.5" hidden="false" customHeight="false" outlineLevel="0" collapsed="false">
      <c r="A95" s="4" t="s">
        <v>231</v>
      </c>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row>
    <row r="96" customFormat="false" ht="15.5" hidden="false" customHeight="false" outlineLevel="0" collapsed="false">
      <c r="A96" s="4" t="s">
        <v>1</v>
      </c>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row>
    <row r="98" customFormat="false" ht="12.5" hidden="false" customHeight="false" outlineLevel="0" collapsed="false">
      <c r="A98" s="1" t="s">
        <v>232</v>
      </c>
      <c r="B98" s="1" t="s">
        <v>233</v>
      </c>
      <c r="O98" s="1" t="s">
        <v>234</v>
      </c>
      <c r="P98" s="1" t="s">
        <v>235</v>
      </c>
      <c r="W98" s="1" t="s">
        <v>236</v>
      </c>
      <c r="X98" s="1" t="s">
        <v>237</v>
      </c>
      <c r="AN98" s="3" t="s">
        <v>8</v>
      </c>
      <c r="AO98" s="3" t="s">
        <v>9</v>
      </c>
      <c r="AP98" s="3" t="s">
        <v>10</v>
      </c>
      <c r="AQ98" s="3" t="s">
        <v>11</v>
      </c>
      <c r="AR98" s="3" t="s">
        <v>12</v>
      </c>
      <c r="AS98" s="3" t="s">
        <v>13</v>
      </c>
      <c r="AT98" s="3" t="s">
        <v>14</v>
      </c>
      <c r="AU98" s="3" t="s">
        <v>15</v>
      </c>
    </row>
    <row r="99" customFormat="false" ht="12.5" hidden="false" customHeight="false" outlineLevel="0" collapsed="false">
      <c r="B99" s="1" t="s">
        <v>238</v>
      </c>
    </row>
    <row r="100" customFormat="false" ht="12.5" hidden="false" customHeight="false" outlineLevel="0" collapsed="false">
      <c r="B100" s="11"/>
      <c r="C100" s="1" t="s">
        <v>239</v>
      </c>
      <c r="P100" s="11"/>
      <c r="Q100" s="1" t="s">
        <v>240</v>
      </c>
      <c r="X100" s="11"/>
      <c r="Y100" s="1" t="s">
        <v>241</v>
      </c>
      <c r="AH100" s="2" t="s">
        <v>19</v>
      </c>
      <c r="AI100" s="3" t="n">
        <f aca="false">B100*1</f>
        <v>0</v>
      </c>
      <c r="AJ100" s="3" t="n">
        <f aca="false">P100*1</f>
        <v>0</v>
      </c>
      <c r="AK100" s="3" t="n">
        <f aca="false">X100*1</f>
        <v>0</v>
      </c>
      <c r="AN100" s="3" t="n">
        <f aca="false">SUM(AI100:AK100)</f>
        <v>0</v>
      </c>
    </row>
    <row r="101" customFormat="false" ht="12.5" hidden="false" customHeight="false" outlineLevel="0" collapsed="false">
      <c r="C101" s="1" t="s">
        <v>20</v>
      </c>
      <c r="Q101" s="1" t="s">
        <v>20</v>
      </c>
      <c r="Y101" s="1" t="s">
        <v>242</v>
      </c>
    </row>
    <row r="102" customFormat="false" ht="12.5" hidden="false" customHeight="false" outlineLevel="0" collapsed="false">
      <c r="B102" s="11"/>
      <c r="C102" s="1" t="s">
        <v>243</v>
      </c>
      <c r="P102" s="11"/>
      <c r="Q102" s="1" t="s">
        <v>244</v>
      </c>
      <c r="X102" s="11"/>
      <c r="Y102" s="1" t="s">
        <v>245</v>
      </c>
      <c r="AH102" s="2" t="s">
        <v>24</v>
      </c>
      <c r="AI102" s="3" t="n">
        <f aca="false">B102*1</f>
        <v>0</v>
      </c>
      <c r="AJ102" s="3" t="n">
        <f aca="false">P102*0</f>
        <v>0</v>
      </c>
      <c r="AK102" s="3" t="n">
        <f aca="false">X102*1</f>
        <v>0</v>
      </c>
      <c r="AO102" s="3" t="n">
        <f aca="false">SUM(AI102:AK102)</f>
        <v>0</v>
      </c>
    </row>
    <row r="104" customFormat="false" ht="12.5" hidden="false" customHeight="false" outlineLevel="0" collapsed="false">
      <c r="A104" s="1" t="s">
        <v>246</v>
      </c>
      <c r="B104" s="1" t="s">
        <v>247</v>
      </c>
      <c r="O104" s="1" t="s">
        <v>248</v>
      </c>
      <c r="P104" s="1" t="s">
        <v>249</v>
      </c>
      <c r="W104" s="1" t="s">
        <v>250</v>
      </c>
      <c r="X104" s="1" t="s">
        <v>251</v>
      </c>
    </row>
    <row r="105" customFormat="false" ht="12.5" hidden="false" customHeight="false" outlineLevel="0" collapsed="false">
      <c r="X105" s="1" t="s">
        <v>252</v>
      </c>
    </row>
    <row r="106" customFormat="false" ht="12.5" hidden="false" customHeight="false" outlineLevel="0" collapsed="false">
      <c r="B106" s="11"/>
      <c r="C106" s="1" t="s">
        <v>253</v>
      </c>
      <c r="P106" s="11"/>
      <c r="Q106" s="1" t="s">
        <v>254</v>
      </c>
      <c r="X106" s="11"/>
      <c r="Y106" s="1" t="s">
        <v>255</v>
      </c>
      <c r="AH106" s="2" t="s">
        <v>34</v>
      </c>
      <c r="AI106" s="3" t="n">
        <f aca="false">B106*1</f>
        <v>0</v>
      </c>
      <c r="AJ106" s="3" t="n">
        <f aca="false">P106*2</f>
        <v>0</v>
      </c>
      <c r="AK106" s="3" t="n">
        <f aca="false">X106*1</f>
        <v>0</v>
      </c>
      <c r="AP106" s="3" t="n">
        <f aca="false">SUM(AI106:AK106)</f>
        <v>0</v>
      </c>
    </row>
    <row r="107" customFormat="false" ht="12.5" hidden="false" customHeight="false" outlineLevel="0" collapsed="false">
      <c r="C107" s="1" t="s">
        <v>256</v>
      </c>
      <c r="Q107" s="1" t="s">
        <v>257</v>
      </c>
      <c r="Y107" s="1" t="s">
        <v>20</v>
      </c>
    </row>
    <row r="108" customFormat="false" ht="12.5" hidden="false" customHeight="false" outlineLevel="0" collapsed="false">
      <c r="B108" s="11"/>
      <c r="C108" s="1" t="s">
        <v>258</v>
      </c>
      <c r="P108" s="11"/>
      <c r="Q108" s="1" t="s">
        <v>259</v>
      </c>
      <c r="X108" s="11"/>
      <c r="Y108" s="1" t="s">
        <v>260</v>
      </c>
      <c r="AH108" s="2" t="s">
        <v>38</v>
      </c>
      <c r="AI108" s="3" t="n">
        <f aca="false">B108*1</f>
        <v>0</v>
      </c>
      <c r="AJ108" s="3" t="n">
        <f aca="false">P108*0</f>
        <v>0</v>
      </c>
      <c r="AK108" s="3" t="n">
        <f aca="false">X108*2</f>
        <v>0</v>
      </c>
      <c r="AQ108" s="3" t="n">
        <f aca="false">SUM(AI108:AK108)</f>
        <v>0</v>
      </c>
    </row>
    <row r="109" customFormat="false" ht="12.5" hidden="false" customHeight="false" outlineLevel="0" collapsed="false">
      <c r="Q109" s="1" t="s">
        <v>261</v>
      </c>
    </row>
    <row r="111" customFormat="false" ht="12.5" hidden="false" customHeight="false" outlineLevel="0" collapsed="false">
      <c r="A111" s="1" t="s">
        <v>262</v>
      </c>
      <c r="B111" s="1" t="s">
        <v>263</v>
      </c>
      <c r="O111" s="1" t="s">
        <v>264</v>
      </c>
      <c r="P111" s="1" t="s">
        <v>265</v>
      </c>
      <c r="W111" s="1" t="s">
        <v>266</v>
      </c>
      <c r="X111" s="1" t="s">
        <v>267</v>
      </c>
    </row>
    <row r="113" customFormat="false" ht="12.5" hidden="false" customHeight="false" outlineLevel="0" collapsed="false">
      <c r="B113" s="11"/>
      <c r="C113" s="1" t="s">
        <v>268</v>
      </c>
      <c r="P113" s="11"/>
      <c r="Q113" s="1" t="s">
        <v>269</v>
      </c>
      <c r="X113" s="11"/>
      <c r="Y113" s="1" t="s">
        <v>270</v>
      </c>
      <c r="AH113" s="2" t="s">
        <v>50</v>
      </c>
      <c r="AI113" s="3" t="n">
        <f aca="false">B113*1</f>
        <v>0</v>
      </c>
      <c r="AJ113" s="3" t="n">
        <f aca="false">P113*1</f>
        <v>0</v>
      </c>
      <c r="AK113" s="3" t="n">
        <f aca="false">X113*0</f>
        <v>0</v>
      </c>
      <c r="AS113" s="3" t="n">
        <f aca="false">SUM(AI113:AK113)</f>
        <v>0</v>
      </c>
    </row>
    <row r="114" customFormat="false" ht="12.5" hidden="false" customHeight="false" outlineLevel="0" collapsed="false">
      <c r="C114" s="1" t="s">
        <v>20</v>
      </c>
      <c r="Q114" s="1" t="s">
        <v>20</v>
      </c>
      <c r="Y114" s="1" t="s">
        <v>20</v>
      </c>
    </row>
    <row r="115" customFormat="false" ht="12.5" hidden="false" customHeight="false" outlineLevel="0" collapsed="false">
      <c r="B115" s="11"/>
      <c r="C115" s="1" t="s">
        <v>271</v>
      </c>
      <c r="P115" s="11"/>
      <c r="Q115" s="1" t="s">
        <v>272</v>
      </c>
      <c r="X115" s="11"/>
      <c r="Y115" s="1" t="s">
        <v>273</v>
      </c>
      <c r="AH115" s="2" t="s">
        <v>55</v>
      </c>
      <c r="AI115" s="3" t="n">
        <f aca="false">B115*0</f>
        <v>0</v>
      </c>
      <c r="AJ115" s="3" t="n">
        <f aca="false">P115*0</f>
        <v>0</v>
      </c>
      <c r="AK115" s="3" t="n">
        <f aca="false">X115*1</f>
        <v>0</v>
      </c>
      <c r="AR115" s="3" t="n">
        <f aca="false">SUM(AI115:AK115)+1</f>
        <v>1</v>
      </c>
    </row>
    <row r="118" customFormat="false" ht="12.5" hidden="false" customHeight="false" outlineLevel="0" collapsed="false">
      <c r="A118" s="1" t="s">
        <v>274</v>
      </c>
      <c r="B118" s="1" t="s">
        <v>275</v>
      </c>
      <c r="W118" s="1" t="s">
        <v>276</v>
      </c>
      <c r="X118" s="1" t="s">
        <v>277</v>
      </c>
    </row>
    <row r="119" customFormat="false" ht="12.5" hidden="false" customHeight="false" outlineLevel="0" collapsed="false">
      <c r="X119" s="1" t="s">
        <v>278</v>
      </c>
    </row>
    <row r="120" customFormat="false" ht="12.5" hidden="false" customHeight="false" outlineLevel="0" collapsed="false">
      <c r="B120" s="11"/>
      <c r="C120" s="1" t="s">
        <v>279</v>
      </c>
      <c r="X120" s="11"/>
      <c r="Y120" s="1" t="s">
        <v>280</v>
      </c>
      <c r="AH120" s="2" t="s">
        <v>68</v>
      </c>
      <c r="AI120" s="3" t="n">
        <f aca="false">B120*0</f>
        <v>0</v>
      </c>
      <c r="AK120" s="3" t="n">
        <f aca="false">X120*1</f>
        <v>0</v>
      </c>
      <c r="AT120" s="3" t="n">
        <f aca="false">SUM(AI120,AK120)</f>
        <v>0</v>
      </c>
    </row>
    <row r="121" customFormat="false" ht="12.5" hidden="false" customHeight="false" outlineLevel="0" collapsed="false">
      <c r="C121" s="1" t="s">
        <v>281</v>
      </c>
      <c r="Y121" s="1" t="s">
        <v>20</v>
      </c>
    </row>
    <row r="122" customFormat="false" ht="12.5" hidden="false" customHeight="false" outlineLevel="0" collapsed="false">
      <c r="B122" s="11"/>
      <c r="C122" s="1" t="s">
        <v>282</v>
      </c>
      <c r="X122" s="11"/>
      <c r="Y122" s="1" t="s">
        <v>283</v>
      </c>
      <c r="AH122" s="2" t="s">
        <v>74</v>
      </c>
      <c r="AI122" s="3" t="n">
        <f aca="false">B122*2</f>
        <v>0</v>
      </c>
      <c r="AK122" s="3" t="n">
        <f aca="false">X122*2</f>
        <v>0</v>
      </c>
      <c r="AU122" s="3" t="n">
        <f aca="false">SUM(AI122,AK122)</f>
        <v>0</v>
      </c>
    </row>
    <row r="123" customFormat="false" ht="12.5" hidden="false" customHeight="false" outlineLevel="0" collapsed="false">
      <c r="Y123" s="1" t="s">
        <v>284</v>
      </c>
    </row>
    <row r="125" customFormat="false" ht="12.5" hidden="false" customHeight="false" outlineLevel="0" collapsed="false">
      <c r="A125" s="1" t="s">
        <v>285</v>
      </c>
      <c r="B125" s="1" t="s">
        <v>286</v>
      </c>
      <c r="O125" s="1" t="s">
        <v>287</v>
      </c>
      <c r="P125" s="1" t="s">
        <v>288</v>
      </c>
      <c r="W125" s="1" t="s">
        <v>289</v>
      </c>
      <c r="X125" s="1" t="s">
        <v>290</v>
      </c>
    </row>
    <row r="127" customFormat="false" ht="12.5" hidden="false" customHeight="false" outlineLevel="0" collapsed="false">
      <c r="B127" s="11"/>
      <c r="C127" s="1" t="s">
        <v>291</v>
      </c>
      <c r="P127" s="11"/>
      <c r="Q127" s="1" t="s">
        <v>292</v>
      </c>
      <c r="X127" s="11"/>
      <c r="Y127" s="1" t="s">
        <v>293</v>
      </c>
      <c r="AH127" s="2" t="s">
        <v>85</v>
      </c>
      <c r="AI127" s="3" t="n">
        <f aca="false">B127*1</f>
        <v>0</v>
      </c>
      <c r="AJ127" s="3" t="n">
        <f aca="false">P127*2</f>
        <v>0</v>
      </c>
      <c r="AK127" s="3" t="n">
        <f aca="false">X127*2</f>
        <v>0</v>
      </c>
      <c r="AO127" s="3" t="n">
        <f aca="false">SUM(AI127:AK127)</f>
        <v>0</v>
      </c>
    </row>
    <row r="128" customFormat="false" ht="12.5" hidden="false" customHeight="false" outlineLevel="0" collapsed="false">
      <c r="C128" s="1" t="s">
        <v>20</v>
      </c>
      <c r="Q128" s="1" t="s">
        <v>20</v>
      </c>
      <c r="Y128" s="1" t="s">
        <v>20</v>
      </c>
    </row>
    <row r="129" customFormat="false" ht="12.5" hidden="false" customHeight="false" outlineLevel="0" collapsed="false">
      <c r="B129" s="11"/>
      <c r="C129" s="1" t="s">
        <v>294</v>
      </c>
      <c r="P129" s="11"/>
      <c r="Q129" s="1" t="s">
        <v>295</v>
      </c>
      <c r="X129" s="11"/>
      <c r="Y129" s="1" t="s">
        <v>296</v>
      </c>
      <c r="AH129" s="2" t="s">
        <v>19</v>
      </c>
      <c r="AI129" s="3" t="n">
        <f aca="false">B129*2</f>
        <v>0</v>
      </c>
      <c r="AJ129" s="3" t="n">
        <f aca="false">P129*0</f>
        <v>0</v>
      </c>
      <c r="AK129" s="3" t="n">
        <f aca="false">X129*1</f>
        <v>0</v>
      </c>
      <c r="AN129" s="3" t="n">
        <f aca="false">SUM(AI129:AK129)</f>
        <v>0</v>
      </c>
    </row>
    <row r="130" customFormat="false" ht="12.5" hidden="false" customHeight="false" outlineLevel="0" collapsed="false">
      <c r="Q130" s="1" t="s">
        <v>297</v>
      </c>
    </row>
    <row r="132" customFormat="false" ht="12.5" hidden="false" customHeight="false" outlineLevel="0" collapsed="false">
      <c r="A132" s="1" t="s">
        <v>298</v>
      </c>
      <c r="B132" s="1" t="s">
        <v>299</v>
      </c>
      <c r="O132" s="1" t="s">
        <v>300</v>
      </c>
      <c r="P132" s="1" t="s">
        <v>301</v>
      </c>
      <c r="W132" s="1" t="s">
        <v>302</v>
      </c>
      <c r="X132" s="1" t="s">
        <v>303</v>
      </c>
    </row>
    <row r="133" customFormat="false" ht="12.5" hidden="false" customHeight="false" outlineLevel="0" collapsed="false">
      <c r="B133" s="1" t="s">
        <v>304</v>
      </c>
    </row>
    <row r="134" customFormat="false" ht="12.5" hidden="false" customHeight="false" outlineLevel="0" collapsed="false">
      <c r="B134" s="11"/>
      <c r="C134" s="1" t="s">
        <v>305</v>
      </c>
      <c r="P134" s="11"/>
      <c r="Q134" s="1" t="s">
        <v>306</v>
      </c>
      <c r="X134" s="11"/>
      <c r="Y134" s="1" t="s">
        <v>307</v>
      </c>
      <c r="AH134" s="2" t="s">
        <v>68</v>
      </c>
      <c r="AI134" s="3" t="n">
        <f aca="false">B134*2</f>
        <v>0</v>
      </c>
      <c r="AJ134" s="3" t="n">
        <f aca="false">P134*0</f>
        <v>0</v>
      </c>
      <c r="AK134" s="3" t="n">
        <f aca="false">X134*1</f>
        <v>0</v>
      </c>
      <c r="AT134" s="3" t="n">
        <f aca="false">SUM(AI134:AK134)</f>
        <v>0</v>
      </c>
    </row>
    <row r="135" customFormat="false" ht="12.5" hidden="false" customHeight="false" outlineLevel="0" collapsed="false">
      <c r="C135" s="1" t="s">
        <v>308</v>
      </c>
      <c r="Q135" s="1" t="s">
        <v>309</v>
      </c>
      <c r="Y135" s="1" t="s">
        <v>20</v>
      </c>
    </row>
    <row r="136" customFormat="false" ht="12.5" hidden="false" customHeight="false" outlineLevel="0" collapsed="false">
      <c r="B136" s="11"/>
      <c r="C136" s="1" t="s">
        <v>310</v>
      </c>
      <c r="P136" s="11"/>
      <c r="Q136" s="1" t="s">
        <v>311</v>
      </c>
      <c r="X136" s="11"/>
      <c r="Y136" s="1" t="s">
        <v>312</v>
      </c>
      <c r="AH136" s="2" t="s">
        <v>74</v>
      </c>
      <c r="AI136" s="3" t="n">
        <f aca="false">B136*1</f>
        <v>0</v>
      </c>
      <c r="AJ136" s="3" t="n">
        <f aca="false">P136*1</f>
        <v>0</v>
      </c>
      <c r="AK136" s="3" t="n">
        <f aca="false">X136*0</f>
        <v>0</v>
      </c>
      <c r="AU136" s="3" t="n">
        <f aca="false">SUM(AI136:AK136)</f>
        <v>0</v>
      </c>
    </row>
    <row r="137" customFormat="false" ht="12.5" hidden="false" customHeight="false" outlineLevel="0" collapsed="false">
      <c r="Q137" s="1" t="s">
        <v>313</v>
      </c>
    </row>
    <row r="139" customFormat="false" ht="12.5" hidden="false" customHeight="false" outlineLevel="0" collapsed="false">
      <c r="A139" s="1" t="s">
        <v>314</v>
      </c>
      <c r="B139" s="1" t="s">
        <v>315</v>
      </c>
      <c r="O139" s="1" t="s">
        <v>316</v>
      </c>
      <c r="P139" s="1" t="s">
        <v>317</v>
      </c>
    </row>
    <row r="140" customFormat="false" ht="12.5" hidden="false" customHeight="false" outlineLevel="0" collapsed="false">
      <c r="B140" s="1" t="s">
        <v>318</v>
      </c>
    </row>
    <row r="141" customFormat="false" ht="12.5" hidden="false" customHeight="false" outlineLevel="0" collapsed="false">
      <c r="B141" s="11"/>
      <c r="C141" s="1" t="s">
        <v>319</v>
      </c>
      <c r="P141" s="11"/>
      <c r="Q141" s="1" t="s">
        <v>320</v>
      </c>
      <c r="AH141" s="2" t="s">
        <v>38</v>
      </c>
      <c r="AI141" s="3" t="n">
        <f aca="false">B141*0</f>
        <v>0</v>
      </c>
      <c r="AJ141" s="3" t="n">
        <f aca="false">P141*0</f>
        <v>0</v>
      </c>
      <c r="AQ141" s="3" t="n">
        <f aca="false">SUM(AI141:AJ141)</f>
        <v>0</v>
      </c>
    </row>
    <row r="142" customFormat="false" ht="12.5" hidden="false" customHeight="false" outlineLevel="0" collapsed="false">
      <c r="C142" s="1" t="s">
        <v>20</v>
      </c>
      <c r="Q142" s="1" t="s">
        <v>20</v>
      </c>
    </row>
    <row r="143" customFormat="false" ht="12.5" hidden="false" customHeight="false" outlineLevel="0" collapsed="false">
      <c r="B143" s="11"/>
      <c r="C143" s="1" t="s">
        <v>321</v>
      </c>
      <c r="P143" s="11"/>
      <c r="Q143" s="1" t="s">
        <v>322</v>
      </c>
      <c r="AH143" s="2" t="s">
        <v>34</v>
      </c>
      <c r="AI143" s="3" t="n">
        <f aca="false">B143*1</f>
        <v>0</v>
      </c>
      <c r="AJ143" s="3" t="n">
        <f aca="false">P143*1</f>
        <v>0</v>
      </c>
      <c r="AP143" s="3" t="n">
        <f aca="false">SUM(AI143:AJ143)</f>
        <v>0</v>
      </c>
    </row>
    <row r="144" customFormat="false" ht="12.5" hidden="false" customHeight="false" outlineLevel="0" collapsed="false">
      <c r="C144" s="1" t="s">
        <v>323</v>
      </c>
    </row>
    <row r="145" customFormat="false" ht="12.5" hidden="false" customHeight="false" outlineLevel="0" collapsed="false">
      <c r="O145" s="1" t="s">
        <v>324</v>
      </c>
    </row>
    <row r="146" customFormat="false" ht="12.5" hidden="false" customHeight="false" outlineLevel="0" collapsed="false">
      <c r="O146" s="1" t="s">
        <v>325</v>
      </c>
    </row>
    <row r="147" customFormat="false" ht="12.5" hidden="false" customHeight="false" outlineLevel="0" collapsed="false">
      <c r="A147" s="1" t="s">
        <v>326</v>
      </c>
      <c r="B147" s="1" t="s">
        <v>327</v>
      </c>
      <c r="O147" s="1" t="s">
        <v>328</v>
      </c>
      <c r="P147" s="1" t="s">
        <v>329</v>
      </c>
    </row>
    <row r="148" customFormat="false" ht="12.5" hidden="false" customHeight="false" outlineLevel="0" collapsed="false">
      <c r="B148" s="1" t="s">
        <v>330</v>
      </c>
    </row>
    <row r="149" customFormat="false" ht="12.5" hidden="false" customHeight="false" outlineLevel="0" collapsed="false">
      <c r="B149" s="11"/>
      <c r="C149" s="1" t="s">
        <v>331</v>
      </c>
      <c r="P149" s="11"/>
      <c r="Q149" s="1" t="s">
        <v>332</v>
      </c>
      <c r="AH149" s="2" t="s">
        <v>74</v>
      </c>
      <c r="AI149" s="3" t="n">
        <f aca="false">B149*1</f>
        <v>0</v>
      </c>
      <c r="AJ149" s="3" t="n">
        <f aca="false">P149*1</f>
        <v>0</v>
      </c>
      <c r="AU149" s="3" t="n">
        <f aca="false">SUM(AI149:AJ149)</f>
        <v>0</v>
      </c>
    </row>
    <row r="150" customFormat="false" ht="12.5" hidden="false" customHeight="false" outlineLevel="0" collapsed="false">
      <c r="C150" s="1" t="s">
        <v>333</v>
      </c>
      <c r="Q150" s="1" t="s">
        <v>334</v>
      </c>
    </row>
    <row r="151" customFormat="false" ht="12.5" hidden="false" customHeight="false" outlineLevel="0" collapsed="false">
      <c r="B151" s="11"/>
      <c r="C151" s="1" t="s">
        <v>335</v>
      </c>
      <c r="P151" s="11"/>
      <c r="Q151" s="1" t="s">
        <v>336</v>
      </c>
      <c r="AH151" s="2" t="s">
        <v>68</v>
      </c>
      <c r="AI151" s="3" t="n">
        <f aca="false">B151*1</f>
        <v>0</v>
      </c>
      <c r="AJ151" s="3" t="n">
        <f aca="false">P151*0</f>
        <v>0</v>
      </c>
      <c r="AT151" s="3" t="n">
        <f aca="false">SUM(AI151:AJ152)</f>
        <v>0</v>
      </c>
    </row>
    <row r="152" customFormat="false" ht="12.5" hidden="false" customHeight="false" outlineLevel="0" collapsed="false">
      <c r="C152" s="1" t="s">
        <v>337</v>
      </c>
      <c r="P152" s="11"/>
      <c r="Q152" s="1" t="s">
        <v>338</v>
      </c>
      <c r="AI152" s="3" t="n">
        <f aca="false">B153*0</f>
        <v>0</v>
      </c>
      <c r="AJ152" s="3" t="n">
        <f aca="false">P152*1</f>
        <v>0</v>
      </c>
    </row>
    <row r="153" customFormat="false" ht="12.5" hidden="false" customHeight="false" outlineLevel="0" collapsed="false">
      <c r="B153" s="11"/>
      <c r="C153" s="1" t="s">
        <v>339</v>
      </c>
      <c r="Q153" s="1" t="s">
        <v>340</v>
      </c>
    </row>
    <row r="154" customFormat="false" ht="12.5" hidden="false" customHeight="false" outlineLevel="0" collapsed="false">
      <c r="C154" s="1" t="s">
        <v>341</v>
      </c>
    </row>
    <row r="169" customFormat="false" ht="15.5" hidden="false" customHeight="false" outlineLevel="0" collapsed="false">
      <c r="A169" s="4" t="s">
        <v>342</v>
      </c>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customFormat="false" ht="15.5" hidden="false" customHeight="false" outlineLevel="0" collapsed="false">
      <c r="A170" s="4" t="s">
        <v>159</v>
      </c>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2" customFormat="false" ht="12.5" hidden="false" customHeight="false" outlineLevel="0" collapsed="false">
      <c r="A172" s="1" t="s">
        <v>343</v>
      </c>
      <c r="B172" s="11"/>
      <c r="C172" s="1" t="s">
        <v>344</v>
      </c>
      <c r="K172" s="1" t="s">
        <v>345</v>
      </c>
      <c r="L172" s="11"/>
      <c r="M172" s="1" t="s">
        <v>346</v>
      </c>
      <c r="S172" s="1" t="s">
        <v>347</v>
      </c>
      <c r="T172" s="11"/>
      <c r="U172" s="1" t="s">
        <v>348</v>
      </c>
      <c r="AA172" s="1" t="s">
        <v>349</v>
      </c>
      <c r="AB172" s="11"/>
      <c r="AC172" s="1" t="s">
        <v>350</v>
      </c>
      <c r="AH172" s="2" t="s">
        <v>34</v>
      </c>
      <c r="AI172" s="3" t="n">
        <f aca="false">B172*1</f>
        <v>0</v>
      </c>
      <c r="AJ172" s="3" t="n">
        <f aca="false">L172*1</f>
        <v>0</v>
      </c>
      <c r="AK172" s="3" t="n">
        <f aca="false">T172*2</f>
        <v>0</v>
      </c>
      <c r="AL172" s="3" t="n">
        <f aca="false">AB172*2</f>
        <v>0</v>
      </c>
      <c r="AP172" s="3" t="n">
        <f aca="false">SUM(AI172:AL172)</f>
        <v>0</v>
      </c>
    </row>
    <row r="173" customFormat="false" ht="12.5" hidden="false" customHeight="false" outlineLevel="0" collapsed="false">
      <c r="B173" s="11"/>
      <c r="C173" s="1" t="s">
        <v>351</v>
      </c>
      <c r="L173" s="11"/>
      <c r="M173" s="1" t="s">
        <v>352</v>
      </c>
      <c r="T173" s="11"/>
      <c r="U173" s="1" t="s">
        <v>353</v>
      </c>
      <c r="AB173" s="11"/>
      <c r="AC173" s="1" t="s">
        <v>354</v>
      </c>
      <c r="AH173" s="2" t="s">
        <v>38</v>
      </c>
      <c r="AI173" s="3" t="n">
        <f aca="false">B173*0</f>
        <v>0</v>
      </c>
      <c r="AJ173" s="3" t="n">
        <f aca="false">L173*1</f>
        <v>0</v>
      </c>
      <c r="AK173" s="3" t="n">
        <f aca="false">T173*1</f>
        <v>0</v>
      </c>
      <c r="AL173" s="3" t="n">
        <f aca="false">AB173*1</f>
        <v>0</v>
      </c>
      <c r="AQ173" s="3" t="n">
        <f aca="false">SUM(AI173:AL173)</f>
        <v>0</v>
      </c>
    </row>
    <row r="175" customFormat="false" ht="12.5" hidden="false" customHeight="false" outlineLevel="0" collapsed="false">
      <c r="A175" s="1" t="s">
        <v>355</v>
      </c>
      <c r="B175" s="11"/>
      <c r="C175" s="1" t="s">
        <v>356</v>
      </c>
      <c r="K175" s="1" t="s">
        <v>357</v>
      </c>
      <c r="L175" s="11"/>
      <c r="M175" s="1" t="s">
        <v>358</v>
      </c>
      <c r="S175" s="1" t="s">
        <v>359</v>
      </c>
      <c r="T175" s="11"/>
      <c r="U175" s="1" t="s">
        <v>360</v>
      </c>
      <c r="AA175" s="1" t="s">
        <v>361</v>
      </c>
      <c r="AB175" s="11"/>
      <c r="AC175" s="1" t="s">
        <v>362</v>
      </c>
      <c r="AH175" s="2" t="s">
        <v>55</v>
      </c>
      <c r="AI175" s="3" t="n">
        <f aca="false">B175*2</f>
        <v>0</v>
      </c>
      <c r="AJ175" s="3" t="n">
        <f aca="false">L175*2</f>
        <v>0</v>
      </c>
      <c r="AK175" s="3" t="n">
        <f aca="false">T175*1</f>
        <v>0</v>
      </c>
      <c r="AL175" s="3" t="n">
        <f aca="false">AB175*1</f>
        <v>0</v>
      </c>
      <c r="AR175" s="3" t="n">
        <f aca="false">SUM(AI175:AL175)</f>
        <v>0</v>
      </c>
    </row>
    <row r="176" customFormat="false" ht="12.5" hidden="false" customHeight="false" outlineLevel="0" collapsed="false">
      <c r="B176" s="11"/>
      <c r="C176" s="1" t="s">
        <v>363</v>
      </c>
      <c r="L176" s="11"/>
      <c r="M176" s="1" t="s">
        <v>364</v>
      </c>
      <c r="T176" s="11"/>
      <c r="U176" s="1" t="s">
        <v>365</v>
      </c>
      <c r="AB176" s="11"/>
      <c r="AC176" s="1" t="s">
        <v>366</v>
      </c>
      <c r="AH176" s="2" t="s">
        <v>50</v>
      </c>
      <c r="AI176" s="3" t="n">
        <f aca="false">B176*2</f>
        <v>0</v>
      </c>
      <c r="AJ176" s="3" t="n">
        <f aca="false">L176*2</f>
        <v>0</v>
      </c>
      <c r="AK176" s="3" t="n">
        <f aca="false">T176*1</f>
        <v>0</v>
      </c>
      <c r="AL176" s="3" t="n">
        <f aca="false">AB176*2</f>
        <v>0</v>
      </c>
      <c r="AS176" s="3" t="n">
        <f aca="false">SUM(AI176:AL176)</f>
        <v>0</v>
      </c>
    </row>
    <row r="178" customFormat="false" ht="12.5" hidden="false" customHeight="false" outlineLevel="0" collapsed="false">
      <c r="A178" s="1" t="s">
        <v>367</v>
      </c>
      <c r="B178" s="11"/>
      <c r="C178" s="1" t="s">
        <v>368</v>
      </c>
      <c r="K178" s="1" t="s">
        <v>369</v>
      </c>
      <c r="L178" s="11"/>
      <c r="M178" s="1" t="s">
        <v>370</v>
      </c>
      <c r="S178" s="1" t="s">
        <v>359</v>
      </c>
      <c r="T178" s="11"/>
      <c r="U178" s="1" t="s">
        <v>371</v>
      </c>
      <c r="AA178" s="1" t="s">
        <v>372</v>
      </c>
      <c r="AB178" s="11"/>
      <c r="AC178" s="1" t="s">
        <v>373</v>
      </c>
      <c r="AH178" s="2" t="s">
        <v>68</v>
      </c>
      <c r="AI178" s="3" t="n">
        <f aca="false">B178*1</f>
        <v>0</v>
      </c>
      <c r="AJ178" s="3" t="n">
        <f aca="false">L178*1</f>
        <v>0</v>
      </c>
      <c r="AK178" s="3" t="n">
        <f aca="false">T178*2</f>
        <v>0</v>
      </c>
      <c r="AL178" s="3" t="n">
        <f aca="false">AB178*0</f>
        <v>0</v>
      </c>
      <c r="AT178" s="3" t="n">
        <f aca="false">SUM(AI178:AL178)</f>
        <v>0</v>
      </c>
    </row>
    <row r="179" customFormat="false" ht="12.5" hidden="false" customHeight="false" outlineLevel="0" collapsed="false">
      <c r="B179" s="11"/>
      <c r="C179" s="1" t="s">
        <v>374</v>
      </c>
      <c r="L179" s="11"/>
      <c r="M179" s="1" t="s">
        <v>375</v>
      </c>
      <c r="T179" s="11"/>
      <c r="U179" s="1" t="s">
        <v>192</v>
      </c>
      <c r="AB179" s="11"/>
      <c r="AC179" s="1" t="s">
        <v>376</v>
      </c>
      <c r="AH179" s="2" t="s">
        <v>74</v>
      </c>
      <c r="AI179" s="3" t="n">
        <f aca="false">B179*1</f>
        <v>0</v>
      </c>
      <c r="AJ179" s="3" t="n">
        <f aca="false">L179*0</f>
        <v>0</v>
      </c>
      <c r="AK179" s="3" t="n">
        <f aca="false">T179*1</f>
        <v>0</v>
      </c>
      <c r="AL179" s="3" t="n">
        <f aca="false">AB179*1</f>
        <v>0</v>
      </c>
      <c r="AU179" s="3" t="n">
        <f aca="false">SUM(AI179:AL179)</f>
        <v>0</v>
      </c>
    </row>
    <row r="181" customFormat="false" ht="12.5" hidden="false" customHeight="false" outlineLevel="0" collapsed="false">
      <c r="A181" s="1" t="s">
        <v>377</v>
      </c>
      <c r="B181" s="11"/>
      <c r="C181" s="1" t="s">
        <v>378</v>
      </c>
      <c r="K181" s="1" t="s">
        <v>379</v>
      </c>
      <c r="L181" s="11"/>
      <c r="M181" s="1" t="s">
        <v>380</v>
      </c>
      <c r="S181" s="1" t="s">
        <v>381</v>
      </c>
      <c r="T181" s="11"/>
      <c r="U181" s="1" t="s">
        <v>382</v>
      </c>
      <c r="AH181" s="2" t="s">
        <v>38</v>
      </c>
      <c r="AI181" s="3" t="n">
        <f aca="false">B181*2</f>
        <v>0</v>
      </c>
      <c r="AJ181" s="3" t="n">
        <f aca="false">L181*1</f>
        <v>0</v>
      </c>
      <c r="AK181" s="3" t="n">
        <f aca="false">T181*0</f>
        <v>0</v>
      </c>
      <c r="AQ181" s="3" t="n">
        <f aca="false">SUM(AI181:AK181)</f>
        <v>0</v>
      </c>
    </row>
    <row r="182" customFormat="false" ht="12.5" hidden="false" customHeight="false" outlineLevel="0" collapsed="false">
      <c r="B182" s="11"/>
      <c r="C182" s="1" t="s">
        <v>383</v>
      </c>
      <c r="L182" s="11"/>
      <c r="M182" s="1" t="s">
        <v>384</v>
      </c>
      <c r="T182" s="11"/>
      <c r="U182" s="1" t="s">
        <v>385</v>
      </c>
      <c r="AH182" s="2" t="s">
        <v>34</v>
      </c>
      <c r="AI182" s="3" t="n">
        <f aca="false">B182*1</f>
        <v>0</v>
      </c>
      <c r="AJ182" s="3" t="n">
        <f aca="false">L182*1</f>
        <v>0</v>
      </c>
      <c r="AK182" s="3" t="n">
        <f aca="false">T182*2</f>
        <v>0</v>
      </c>
      <c r="AP182" s="3" t="n">
        <f aca="false">SUM(AI182:AK182)</f>
        <v>0</v>
      </c>
    </row>
    <row r="184" customFormat="false" ht="12.5" hidden="false" customHeight="false" outlineLevel="0" collapsed="false">
      <c r="A184" s="1" t="s">
        <v>386</v>
      </c>
      <c r="B184" s="11"/>
      <c r="C184" s="1" t="s">
        <v>387</v>
      </c>
      <c r="K184" s="1" t="s">
        <v>388</v>
      </c>
      <c r="L184" s="11"/>
      <c r="M184" s="1" t="s">
        <v>389</v>
      </c>
      <c r="S184" s="1" t="s">
        <v>390</v>
      </c>
      <c r="T184" s="11"/>
      <c r="U184" s="1" t="s">
        <v>391</v>
      </c>
      <c r="AA184" s="1" t="s">
        <v>392</v>
      </c>
      <c r="AB184" s="11"/>
      <c r="AC184" s="1" t="s">
        <v>393</v>
      </c>
      <c r="AH184" s="2" t="s">
        <v>50</v>
      </c>
      <c r="AI184" s="3" t="n">
        <f aca="false">B184*0</f>
        <v>0</v>
      </c>
      <c r="AJ184" s="3" t="n">
        <f aca="false">L184*1</f>
        <v>0</v>
      </c>
      <c r="AK184" s="3" t="n">
        <f aca="false">T184*2</f>
        <v>0</v>
      </c>
      <c r="AL184" s="3" t="n">
        <f aca="false">AB184*0</f>
        <v>0</v>
      </c>
      <c r="AS184" s="3" t="n">
        <f aca="false">SUM(AI184:AL184)</f>
        <v>0</v>
      </c>
    </row>
    <row r="185" customFormat="false" ht="12.5" hidden="false" customHeight="false" outlineLevel="0" collapsed="false">
      <c r="B185" s="11"/>
      <c r="C185" s="1" t="s">
        <v>394</v>
      </c>
      <c r="L185" s="11"/>
      <c r="M185" s="1" t="s">
        <v>360</v>
      </c>
      <c r="T185" s="11"/>
      <c r="U185" s="1" t="s">
        <v>395</v>
      </c>
      <c r="AB185" s="11"/>
      <c r="AC185" s="1" t="s">
        <v>354</v>
      </c>
      <c r="AH185" s="2" t="s">
        <v>55</v>
      </c>
      <c r="AI185" s="3" t="n">
        <f aca="false">B185*0</f>
        <v>0</v>
      </c>
      <c r="AJ185" s="3" t="n">
        <f aca="false">L185*2</f>
        <v>0</v>
      </c>
      <c r="AK185" s="3" t="n">
        <f aca="false">T185*2</f>
        <v>0</v>
      </c>
      <c r="AL185" s="3" t="n">
        <f aca="false">AB185*1</f>
        <v>0</v>
      </c>
      <c r="AR185" s="3" t="n">
        <f aca="false">SUM(AI185:AL185)</f>
        <v>0</v>
      </c>
    </row>
    <row r="187" customFormat="false" ht="12.5" hidden="false" customHeight="false" outlineLevel="0" collapsed="false">
      <c r="A187" s="1" t="s">
        <v>396</v>
      </c>
      <c r="B187" s="11"/>
      <c r="C187" s="1" t="s">
        <v>397</v>
      </c>
      <c r="K187" s="1" t="s">
        <v>398</v>
      </c>
      <c r="L187" s="11"/>
      <c r="M187" s="1" t="s">
        <v>399</v>
      </c>
      <c r="AH187" s="2" t="s">
        <v>19</v>
      </c>
      <c r="AI187" s="3" t="n">
        <f aca="false">B187*1</f>
        <v>0</v>
      </c>
      <c r="AJ187" s="3" t="n">
        <f aca="false">L187*1</f>
        <v>0</v>
      </c>
      <c r="AN187" s="3" t="n">
        <f aca="false">SUM(AI187:AJ187)</f>
        <v>0</v>
      </c>
    </row>
    <row r="188" customFormat="false" ht="12.5" hidden="false" customHeight="false" outlineLevel="0" collapsed="false">
      <c r="B188" s="11"/>
      <c r="C188" s="1" t="s">
        <v>400</v>
      </c>
      <c r="L188" s="11"/>
      <c r="M188" s="1" t="s">
        <v>401</v>
      </c>
      <c r="AH188" s="2" t="s">
        <v>85</v>
      </c>
      <c r="AI188" s="3" t="n">
        <f aca="false">B188*0</f>
        <v>0</v>
      </c>
      <c r="AJ188" s="3" t="n">
        <f aca="false">L188*2</f>
        <v>0</v>
      </c>
      <c r="AO188" s="3" t="n">
        <f aca="false">SUM(AI188:AJ188)</f>
        <v>0</v>
      </c>
    </row>
    <row r="189" customFormat="false" ht="15.5" hidden="false" customHeight="false" outlineLevel="0" collapsed="false">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row>
    <row r="190" customFormat="false" ht="18" hidden="false" customHeight="false" outlineLevel="0" collapsed="false">
      <c r="A190" s="17" t="s">
        <v>402</v>
      </c>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row>
    <row r="191" customFormat="false" ht="15.5" hidden="false" customHeight="false" outlineLevel="0" collapsed="false">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row>
    <row r="192" customFormat="false" ht="15.5" hidden="false" customHeight="false" outlineLevel="0" collapsed="false">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row>
    <row r="193" customFormat="false" ht="15.5" hidden="false" customHeight="false" outlineLevel="0" collapsed="false">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row>
    <row r="194" customFormat="false" ht="15.5" hidden="false" customHeight="false" outlineLevel="0" collapsed="false">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row>
    <row r="195" customFormat="false" ht="18" hidden="false" customHeight="false" outlineLevel="0" collapsed="false">
      <c r="A195" s="16"/>
      <c r="B195" s="16"/>
      <c r="C195" s="18" t="s">
        <v>403</v>
      </c>
      <c r="D195" s="16"/>
      <c r="E195" s="16"/>
      <c r="F195" s="16"/>
      <c r="G195" s="16"/>
      <c r="H195" s="16"/>
      <c r="I195" s="16"/>
      <c r="J195" s="16"/>
      <c r="K195" s="16"/>
      <c r="L195" s="16"/>
      <c r="M195" s="16"/>
      <c r="N195" s="16"/>
      <c r="O195" s="16"/>
      <c r="P195" s="16"/>
      <c r="Q195" s="16"/>
      <c r="R195" s="16"/>
      <c r="S195" s="16"/>
      <c r="T195" s="16"/>
      <c r="U195" s="17" t="s">
        <v>404</v>
      </c>
      <c r="V195" s="17"/>
      <c r="W195" s="17"/>
      <c r="X195" s="17"/>
      <c r="Y195" s="17"/>
      <c r="Z195" s="17"/>
      <c r="AA195" s="17"/>
      <c r="AB195" s="17"/>
      <c r="AC195" s="17"/>
      <c r="AD195" s="16"/>
      <c r="AE195" s="16"/>
      <c r="AF195" s="16"/>
      <c r="AG195" s="16"/>
    </row>
    <row r="196" customFormat="false" ht="15.5" hidden="false" customHeight="false" outlineLevel="0" collapsed="false">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row>
    <row r="197" customFormat="false" ht="15.5" hidden="false" customHeight="true" outlineLevel="0" collapsed="false">
      <c r="A197" s="16"/>
      <c r="B197" s="16"/>
      <c r="C197" s="19" t="s">
        <v>8</v>
      </c>
      <c r="D197" s="20" t="s">
        <v>9</v>
      </c>
      <c r="E197" s="21" t="s">
        <v>10</v>
      </c>
      <c r="F197" s="20" t="s">
        <v>11</v>
      </c>
      <c r="G197" s="21" t="s">
        <v>12</v>
      </c>
      <c r="H197" s="20" t="s">
        <v>13</v>
      </c>
      <c r="I197" s="21" t="s">
        <v>14</v>
      </c>
      <c r="J197" s="22" t="s">
        <v>15</v>
      </c>
      <c r="K197" s="16"/>
      <c r="L197" s="16"/>
      <c r="M197" s="16"/>
      <c r="N197" s="16"/>
      <c r="O197" s="16"/>
      <c r="P197" s="16"/>
      <c r="Q197" s="16"/>
      <c r="R197" s="16"/>
      <c r="S197" s="16"/>
      <c r="T197" s="16"/>
      <c r="U197" s="16"/>
      <c r="V197" s="23" t="s">
        <v>405</v>
      </c>
      <c r="W197" s="23"/>
      <c r="X197" s="16"/>
      <c r="Y197" s="23" t="s">
        <v>405</v>
      </c>
      <c r="Z197" s="23"/>
      <c r="AA197" s="16"/>
      <c r="AB197" s="16"/>
      <c r="AC197" s="16"/>
      <c r="AD197" s="16"/>
      <c r="AE197" s="16"/>
      <c r="AF197" s="16"/>
      <c r="AG197" s="16"/>
    </row>
    <row r="198" customFormat="false" ht="15.5" hidden="false" customHeight="false" outlineLevel="0" collapsed="false">
      <c r="A198" s="16"/>
      <c r="B198" s="16"/>
      <c r="C198" s="24"/>
      <c r="D198" s="25"/>
      <c r="E198" s="26"/>
      <c r="F198" s="25"/>
      <c r="G198" s="26"/>
      <c r="H198" s="25"/>
      <c r="I198" s="26"/>
      <c r="J198" s="25"/>
      <c r="K198" s="16"/>
      <c r="L198" s="16"/>
      <c r="M198" s="16"/>
      <c r="N198" s="16"/>
      <c r="O198" s="16"/>
      <c r="P198" s="16"/>
      <c r="Q198" s="16"/>
      <c r="R198" s="16"/>
      <c r="S198" s="16"/>
      <c r="T198" s="16"/>
      <c r="U198" s="16"/>
      <c r="V198" s="23"/>
      <c r="W198" s="23"/>
      <c r="X198" s="16"/>
      <c r="Y198" s="23"/>
      <c r="Z198" s="23"/>
      <c r="AA198" s="16"/>
      <c r="AB198" s="16"/>
      <c r="AC198" s="16"/>
      <c r="AD198" s="16"/>
      <c r="AE198" s="16"/>
      <c r="AF198" s="16"/>
      <c r="AG198" s="16"/>
    </row>
    <row r="199" customFormat="false" ht="15.5" hidden="false" customHeight="false" outlineLevel="0" collapsed="false">
      <c r="A199" s="16"/>
      <c r="B199" s="16"/>
      <c r="C199" s="27" t="n">
        <f aca="false">SUM(AN6,AN100)</f>
        <v>0</v>
      </c>
      <c r="D199" s="28"/>
      <c r="E199" s="29"/>
      <c r="F199" s="28"/>
      <c r="G199" s="29"/>
      <c r="H199" s="28"/>
      <c r="I199" s="29"/>
      <c r="J199" s="28"/>
      <c r="K199" s="16"/>
      <c r="L199" s="16"/>
      <c r="M199" s="16"/>
      <c r="N199" s="16"/>
      <c r="O199" s="16"/>
      <c r="P199" s="16"/>
      <c r="Q199" s="16"/>
      <c r="R199" s="16"/>
      <c r="S199" s="16"/>
      <c r="T199" s="16"/>
      <c r="U199" s="16"/>
      <c r="V199" s="23"/>
      <c r="W199" s="23"/>
      <c r="X199" s="16"/>
      <c r="Y199" s="23"/>
      <c r="Z199" s="23"/>
      <c r="AA199" s="16"/>
      <c r="AB199" s="16"/>
      <c r="AC199" s="16"/>
      <c r="AD199" s="16"/>
      <c r="AE199" s="16"/>
      <c r="AF199" s="16"/>
      <c r="AG199" s="16"/>
    </row>
    <row r="200" customFormat="false" ht="15.5" hidden="false" customHeight="false" outlineLevel="0" collapsed="false">
      <c r="A200" s="16"/>
      <c r="B200" s="16"/>
      <c r="C200" s="24"/>
      <c r="D200" s="25" t="n">
        <f aca="false">SUM(AO8,AO102)</f>
        <v>0</v>
      </c>
      <c r="E200" s="26"/>
      <c r="F200" s="25"/>
      <c r="G200" s="26"/>
      <c r="H200" s="25"/>
      <c r="I200" s="26"/>
      <c r="J200" s="25"/>
      <c r="K200" s="16"/>
      <c r="L200" s="16"/>
      <c r="M200" s="16"/>
      <c r="N200" s="16"/>
      <c r="O200" s="16"/>
      <c r="P200" s="16"/>
      <c r="Q200" s="16"/>
      <c r="R200" s="30" t="s">
        <v>406</v>
      </c>
      <c r="S200" s="30"/>
      <c r="T200" s="30"/>
      <c r="U200" s="30"/>
      <c r="V200" s="31" t="n">
        <f aca="false">C241</f>
        <v>0</v>
      </c>
      <c r="W200" s="31"/>
      <c r="X200" s="16"/>
      <c r="Y200" s="31" t="n">
        <f aca="false">D241</f>
        <v>0</v>
      </c>
      <c r="Z200" s="31"/>
      <c r="AA200" s="32" t="s">
        <v>407</v>
      </c>
      <c r="AB200" s="32"/>
      <c r="AC200" s="32"/>
      <c r="AD200" s="32"/>
      <c r="AE200" s="32"/>
      <c r="AF200" s="33"/>
      <c r="AG200" s="33"/>
    </row>
    <row r="201" customFormat="false" ht="15.5" hidden="false" customHeight="false" outlineLevel="0" collapsed="false">
      <c r="A201" s="16"/>
      <c r="B201" s="16"/>
      <c r="C201" s="24"/>
      <c r="D201" s="25"/>
      <c r="E201" s="26"/>
      <c r="F201" s="25"/>
      <c r="G201" s="26"/>
      <c r="H201" s="25"/>
      <c r="I201" s="26"/>
      <c r="J201" s="25"/>
      <c r="K201" s="16"/>
      <c r="L201" s="16"/>
      <c r="M201" s="16"/>
      <c r="N201" s="16"/>
      <c r="O201" s="16"/>
      <c r="P201" s="16"/>
      <c r="Q201" s="16"/>
      <c r="R201" s="30"/>
      <c r="S201" s="30"/>
      <c r="T201" s="30"/>
      <c r="U201" s="30"/>
      <c r="V201" s="31"/>
      <c r="W201" s="31"/>
      <c r="X201" s="16"/>
      <c r="Y201" s="31"/>
      <c r="Z201" s="31"/>
      <c r="AA201" s="32"/>
      <c r="AB201" s="32"/>
      <c r="AC201" s="32"/>
      <c r="AD201" s="32"/>
      <c r="AE201" s="32"/>
      <c r="AF201" s="33"/>
      <c r="AG201" s="33"/>
    </row>
    <row r="202" customFormat="false" ht="15.5" hidden="false" customHeight="false" outlineLevel="0" collapsed="false">
      <c r="A202" s="16"/>
      <c r="B202" s="16"/>
      <c r="C202" s="27"/>
      <c r="D202" s="28"/>
      <c r="E202" s="29" t="n">
        <f aca="false">SUM(AP12,AP106)</f>
        <v>0</v>
      </c>
      <c r="F202" s="28"/>
      <c r="G202" s="29"/>
      <c r="H202" s="28"/>
      <c r="I202" s="29"/>
      <c r="J202" s="28"/>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row>
    <row r="203" customFormat="false" ht="15.5" hidden="false" customHeight="false" outlineLevel="0" collapsed="false">
      <c r="A203" s="16"/>
      <c r="B203" s="16"/>
      <c r="C203" s="24"/>
      <c r="D203" s="25"/>
      <c r="E203" s="26"/>
      <c r="F203" s="25" t="n">
        <f aca="false">SUM(AQ14,AQ108)</f>
        <v>0</v>
      </c>
      <c r="G203" s="26"/>
      <c r="H203" s="25"/>
      <c r="I203" s="26"/>
      <c r="J203" s="25"/>
      <c r="K203" s="16"/>
      <c r="L203" s="16"/>
      <c r="M203" s="16"/>
      <c r="N203" s="16"/>
      <c r="O203" s="16"/>
      <c r="P203" s="16"/>
      <c r="Q203" s="16"/>
      <c r="R203" s="30" t="s">
        <v>408</v>
      </c>
      <c r="S203" s="30"/>
      <c r="T203" s="30"/>
      <c r="U203" s="30"/>
      <c r="V203" s="31" t="n">
        <f aca="false">E241</f>
        <v>0</v>
      </c>
      <c r="W203" s="31"/>
      <c r="X203" s="16"/>
      <c r="Y203" s="31" t="n">
        <f aca="false">F241</f>
        <v>0</v>
      </c>
      <c r="Z203" s="31"/>
      <c r="AA203" s="32" t="s">
        <v>409</v>
      </c>
      <c r="AB203" s="32"/>
      <c r="AC203" s="32"/>
      <c r="AD203" s="32"/>
      <c r="AE203" s="32"/>
      <c r="AF203" s="33"/>
      <c r="AG203" s="33"/>
    </row>
    <row r="204" customFormat="false" ht="15.5" hidden="false" customHeight="false" outlineLevel="0" collapsed="false">
      <c r="A204" s="16"/>
      <c r="B204" s="16"/>
      <c r="C204" s="24"/>
      <c r="D204" s="25"/>
      <c r="E204" s="26"/>
      <c r="F204" s="25"/>
      <c r="G204" s="26"/>
      <c r="H204" s="25"/>
      <c r="I204" s="26"/>
      <c r="J204" s="25"/>
      <c r="K204" s="16"/>
      <c r="L204" s="16"/>
      <c r="M204" s="16"/>
      <c r="N204" s="16"/>
      <c r="O204" s="16"/>
      <c r="P204" s="16"/>
      <c r="Q204" s="16"/>
      <c r="R204" s="30"/>
      <c r="S204" s="30"/>
      <c r="T204" s="30"/>
      <c r="U204" s="30"/>
      <c r="V204" s="31"/>
      <c r="W204" s="31"/>
      <c r="X204" s="16"/>
      <c r="Y204" s="31"/>
      <c r="Z204" s="31"/>
      <c r="AA204" s="32"/>
      <c r="AB204" s="32"/>
      <c r="AC204" s="32"/>
      <c r="AD204" s="32"/>
      <c r="AE204" s="32"/>
      <c r="AF204" s="33"/>
      <c r="AG204" s="33"/>
    </row>
    <row r="205" customFormat="false" ht="15.5" hidden="false" customHeight="false" outlineLevel="0" collapsed="false">
      <c r="A205" s="16"/>
      <c r="B205" s="16"/>
      <c r="C205" s="27"/>
      <c r="D205" s="28"/>
      <c r="E205" s="29"/>
      <c r="F205" s="28"/>
      <c r="G205" s="29"/>
      <c r="H205" s="28" t="n">
        <f aca="false">SUM(AS19,AS113)</f>
        <v>0</v>
      </c>
      <c r="I205" s="29"/>
      <c r="J205" s="28"/>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row>
    <row r="206" customFormat="false" ht="15.5" hidden="false" customHeight="false" outlineLevel="0" collapsed="false">
      <c r="A206" s="16"/>
      <c r="B206" s="16"/>
      <c r="C206" s="24"/>
      <c r="D206" s="25"/>
      <c r="E206" s="26"/>
      <c r="F206" s="25"/>
      <c r="G206" s="26" t="n">
        <f aca="false">SUM(AR21,AR115)</f>
        <v>1</v>
      </c>
      <c r="H206" s="25"/>
      <c r="I206" s="26"/>
      <c r="J206" s="25"/>
      <c r="K206" s="16"/>
      <c r="L206" s="16"/>
      <c r="M206" s="16"/>
      <c r="N206" s="16"/>
      <c r="O206" s="16"/>
      <c r="P206" s="16"/>
      <c r="Q206" s="16"/>
      <c r="R206" s="30" t="s">
        <v>410</v>
      </c>
      <c r="S206" s="30"/>
      <c r="T206" s="30"/>
      <c r="U206" s="30"/>
      <c r="V206" s="31" t="n">
        <f aca="false">G241</f>
        <v>1</v>
      </c>
      <c r="W206" s="31"/>
      <c r="X206" s="16"/>
      <c r="Y206" s="31" t="n">
        <f aca="false">H241</f>
        <v>0</v>
      </c>
      <c r="Z206" s="31"/>
      <c r="AA206" s="32" t="s">
        <v>411</v>
      </c>
      <c r="AB206" s="32"/>
      <c r="AC206" s="32"/>
      <c r="AD206" s="32"/>
      <c r="AE206" s="32"/>
      <c r="AF206" s="33"/>
      <c r="AG206" s="33"/>
    </row>
    <row r="207" customFormat="false" ht="15.5" hidden="false" customHeight="false" outlineLevel="0" collapsed="false">
      <c r="A207" s="16"/>
      <c r="B207" s="16"/>
      <c r="C207" s="24"/>
      <c r="D207" s="25"/>
      <c r="E207" s="26"/>
      <c r="F207" s="25"/>
      <c r="G207" s="26"/>
      <c r="H207" s="25"/>
      <c r="I207" s="26"/>
      <c r="J207" s="25"/>
      <c r="K207" s="16"/>
      <c r="L207" s="16"/>
      <c r="M207" s="16"/>
      <c r="N207" s="16"/>
      <c r="O207" s="16"/>
      <c r="P207" s="16"/>
      <c r="Q207" s="16"/>
      <c r="R207" s="30"/>
      <c r="S207" s="30"/>
      <c r="T207" s="30"/>
      <c r="U207" s="30"/>
      <c r="V207" s="31"/>
      <c r="W207" s="31"/>
      <c r="X207" s="16"/>
      <c r="Y207" s="31"/>
      <c r="Z207" s="31"/>
      <c r="AA207" s="32"/>
      <c r="AB207" s="32"/>
      <c r="AC207" s="32"/>
      <c r="AD207" s="32"/>
      <c r="AE207" s="32"/>
      <c r="AF207" s="33"/>
      <c r="AG207" s="33"/>
    </row>
    <row r="208" customFormat="false" ht="15.5" hidden="false" customHeight="false" outlineLevel="0" collapsed="false">
      <c r="A208" s="16"/>
      <c r="B208" s="16"/>
      <c r="C208" s="27"/>
      <c r="D208" s="28"/>
      <c r="E208" s="29"/>
      <c r="F208" s="28"/>
      <c r="G208" s="29"/>
      <c r="H208" s="28"/>
      <c r="I208" s="29" t="n">
        <f aca="false">SUM(AT26,AT120)</f>
        <v>0</v>
      </c>
      <c r="J208" s="28"/>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row>
    <row r="209" customFormat="false" ht="15.5" hidden="false" customHeight="false" outlineLevel="0" collapsed="false">
      <c r="A209" s="16"/>
      <c r="B209" s="16"/>
      <c r="C209" s="24"/>
      <c r="D209" s="25"/>
      <c r="E209" s="26"/>
      <c r="F209" s="25"/>
      <c r="G209" s="26"/>
      <c r="H209" s="25"/>
      <c r="I209" s="26"/>
      <c r="J209" s="25" t="n">
        <f aca="false">SUM(AU28,AU122)</f>
        <v>0</v>
      </c>
      <c r="K209" s="16"/>
      <c r="L209" s="16"/>
      <c r="M209" s="16"/>
      <c r="N209" s="16"/>
      <c r="O209" s="16"/>
      <c r="P209" s="16"/>
      <c r="Q209" s="16"/>
      <c r="R209" s="30" t="s">
        <v>412</v>
      </c>
      <c r="S209" s="30"/>
      <c r="T209" s="30"/>
      <c r="U209" s="30"/>
      <c r="V209" s="31" t="n">
        <f aca="false">I241</f>
        <v>0</v>
      </c>
      <c r="W209" s="31"/>
      <c r="X209" s="16"/>
      <c r="Y209" s="31" t="n">
        <f aca="false">J241</f>
        <v>0</v>
      </c>
      <c r="Z209" s="31"/>
      <c r="AA209" s="32" t="s">
        <v>413</v>
      </c>
      <c r="AB209" s="32"/>
      <c r="AC209" s="32"/>
      <c r="AD209" s="32"/>
      <c r="AE209" s="32"/>
      <c r="AF209" s="33"/>
      <c r="AG209" s="33"/>
    </row>
    <row r="210" customFormat="false" ht="15.5" hidden="false" customHeight="false" outlineLevel="0" collapsed="false">
      <c r="A210" s="16"/>
      <c r="B210" s="16"/>
      <c r="C210" s="24"/>
      <c r="D210" s="25"/>
      <c r="E210" s="26"/>
      <c r="F210" s="25"/>
      <c r="G210" s="26"/>
      <c r="H210" s="25"/>
      <c r="I210" s="26"/>
      <c r="J210" s="25"/>
      <c r="K210" s="16"/>
      <c r="L210" s="16"/>
      <c r="M210" s="16"/>
      <c r="N210" s="16"/>
      <c r="O210" s="16"/>
      <c r="P210" s="16"/>
      <c r="Q210" s="16"/>
      <c r="R210" s="30"/>
      <c r="S210" s="30"/>
      <c r="T210" s="30"/>
      <c r="U210" s="30"/>
      <c r="V210" s="31"/>
      <c r="W210" s="31"/>
      <c r="X210" s="16"/>
      <c r="Y210" s="31"/>
      <c r="Z210" s="31"/>
      <c r="AA210" s="32"/>
      <c r="AB210" s="32"/>
      <c r="AC210" s="32"/>
      <c r="AD210" s="32"/>
      <c r="AE210" s="32"/>
      <c r="AF210" s="33"/>
      <c r="AG210" s="33"/>
    </row>
    <row r="211" customFormat="false" ht="15.5" hidden="false" customHeight="false" outlineLevel="0" collapsed="false">
      <c r="A211" s="16"/>
      <c r="B211" s="16"/>
      <c r="C211" s="27"/>
      <c r="D211" s="28" t="n">
        <f aca="false">SUM(AO33,AO127)</f>
        <v>0</v>
      </c>
      <c r="E211" s="29"/>
      <c r="F211" s="28"/>
      <c r="G211" s="29"/>
      <c r="H211" s="28"/>
      <c r="I211" s="29"/>
      <c r="J211" s="28"/>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row>
    <row r="212" customFormat="false" ht="15.5" hidden="false" customHeight="false" outlineLevel="0" collapsed="false">
      <c r="A212" s="16"/>
      <c r="B212" s="16"/>
      <c r="C212" s="24" t="n">
        <f aca="false">SUM(AN35,AN129)</f>
        <v>0</v>
      </c>
      <c r="D212" s="25"/>
      <c r="E212" s="26"/>
      <c r="F212" s="25"/>
      <c r="G212" s="26"/>
      <c r="H212" s="25"/>
      <c r="I212" s="26"/>
      <c r="J212" s="25"/>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row>
    <row r="213" customFormat="false" ht="15.75" hidden="false" customHeight="true" outlineLevel="0" collapsed="false">
      <c r="A213" s="16"/>
      <c r="B213" s="16"/>
      <c r="C213" s="24"/>
      <c r="D213" s="25"/>
      <c r="E213" s="26"/>
      <c r="F213" s="25"/>
      <c r="G213" s="26"/>
      <c r="H213" s="25"/>
      <c r="I213" s="26"/>
      <c r="J213" s="25"/>
      <c r="K213" s="16"/>
      <c r="L213" s="16"/>
      <c r="M213" s="16"/>
      <c r="N213" s="16"/>
      <c r="O213" s="16"/>
      <c r="P213" s="16"/>
      <c r="Q213" s="16"/>
      <c r="R213" s="16"/>
      <c r="S213" s="16"/>
      <c r="T213" s="16"/>
      <c r="U213" s="34" t="s">
        <v>414</v>
      </c>
      <c r="V213" s="34"/>
      <c r="W213" s="34"/>
      <c r="X213" s="34"/>
      <c r="Y213" s="34"/>
      <c r="Z213" s="34"/>
      <c r="AA213" s="34"/>
      <c r="AB213" s="34"/>
      <c r="AC213" s="34"/>
      <c r="AD213" s="16"/>
      <c r="AE213" s="16"/>
      <c r="AF213" s="16"/>
      <c r="AG213" s="16"/>
    </row>
    <row r="214" customFormat="false" ht="15.5" hidden="false" customHeight="false" outlineLevel="0" collapsed="false">
      <c r="A214" s="16"/>
      <c r="B214" s="16"/>
      <c r="C214" s="27"/>
      <c r="D214" s="28"/>
      <c r="E214" s="29"/>
      <c r="F214" s="28"/>
      <c r="G214" s="29"/>
      <c r="H214" s="28"/>
      <c r="I214" s="29" t="n">
        <f aca="false">SUM(AT40,AT134)</f>
        <v>0</v>
      </c>
      <c r="J214" s="28"/>
      <c r="K214" s="16"/>
      <c r="L214" s="16"/>
      <c r="M214" s="16"/>
      <c r="N214" s="16"/>
      <c r="O214" s="16"/>
      <c r="P214" s="16"/>
      <c r="Q214" s="16"/>
      <c r="R214" s="16"/>
      <c r="S214" s="16"/>
      <c r="T214" s="16"/>
      <c r="U214" s="34"/>
      <c r="V214" s="34"/>
      <c r="W214" s="34"/>
      <c r="X214" s="34"/>
      <c r="Y214" s="34"/>
      <c r="Z214" s="34"/>
      <c r="AA214" s="34"/>
      <c r="AB214" s="34"/>
      <c r="AC214" s="34"/>
      <c r="AD214" s="16"/>
      <c r="AE214" s="16"/>
      <c r="AF214" s="16"/>
      <c r="AG214" s="16"/>
    </row>
    <row r="215" customFormat="false" ht="12.75" hidden="false" customHeight="true" outlineLevel="0" collapsed="false">
      <c r="A215" s="16"/>
      <c r="B215" s="16"/>
      <c r="C215" s="24"/>
      <c r="D215" s="25"/>
      <c r="E215" s="26"/>
      <c r="F215" s="25"/>
      <c r="G215" s="26"/>
      <c r="H215" s="25"/>
      <c r="I215" s="26"/>
      <c r="J215" s="25" t="n">
        <f aca="false">SUM(AU42,AU136)</f>
        <v>0</v>
      </c>
      <c r="K215" s="16"/>
      <c r="L215" s="16"/>
      <c r="M215" s="16"/>
      <c r="N215" s="16"/>
      <c r="O215" s="16"/>
      <c r="P215" s="16"/>
      <c r="Q215" s="16"/>
      <c r="R215" s="16"/>
      <c r="S215" s="16"/>
      <c r="T215" s="16"/>
      <c r="U215" s="35"/>
      <c r="V215" s="35"/>
      <c r="W215" s="35"/>
      <c r="X215" s="35"/>
      <c r="Y215" s="35"/>
      <c r="Z215" s="35"/>
      <c r="AA215" s="35"/>
      <c r="AB215" s="35"/>
      <c r="AC215" s="35"/>
      <c r="AD215" s="16"/>
      <c r="AE215" s="16"/>
      <c r="AF215" s="16"/>
      <c r="AG215" s="16"/>
    </row>
    <row r="216" customFormat="false" ht="12.75" hidden="false" customHeight="true" outlineLevel="0" collapsed="false">
      <c r="A216" s="16"/>
      <c r="B216" s="16"/>
      <c r="C216" s="24"/>
      <c r="D216" s="25"/>
      <c r="E216" s="26"/>
      <c r="F216" s="25"/>
      <c r="G216" s="26"/>
      <c r="H216" s="25"/>
      <c r="I216" s="26"/>
      <c r="J216" s="25"/>
      <c r="K216" s="16"/>
      <c r="L216" s="16"/>
      <c r="M216" s="16"/>
      <c r="N216" s="16"/>
      <c r="O216" s="16"/>
      <c r="P216" s="16"/>
      <c r="Q216" s="16"/>
      <c r="R216" s="16"/>
      <c r="S216" s="16"/>
      <c r="T216" s="16"/>
      <c r="U216" s="35"/>
      <c r="V216" s="36" t="s">
        <v>415</v>
      </c>
      <c r="W216" s="36"/>
      <c r="X216" s="36"/>
      <c r="Y216" s="36"/>
      <c r="Z216" s="36"/>
      <c r="AA216" s="16"/>
      <c r="AB216" s="16"/>
      <c r="AC216" s="31" t="str">
        <f aca="false">IF(V200&lt;=Y200,"I","E")</f>
        <v>I</v>
      </c>
      <c r="AD216" s="31" t="str">
        <f aca="false">IF(V203&lt;=Y203,"N","S")</f>
        <v>N</v>
      </c>
      <c r="AE216" s="31" t="str">
        <f aca="false">IF(V206&lt;=Y206,"F","T")</f>
        <v>T</v>
      </c>
      <c r="AF216" s="31" t="str">
        <f aca="false">IF(V209&lt;=Y209,"P","J")</f>
        <v>P</v>
      </c>
      <c r="AG216" s="16"/>
    </row>
    <row r="217" customFormat="false" ht="15.5" hidden="false" customHeight="false" outlineLevel="0" collapsed="false">
      <c r="A217" s="16"/>
      <c r="B217" s="16"/>
      <c r="C217" s="27"/>
      <c r="D217" s="28"/>
      <c r="E217" s="29"/>
      <c r="F217" s="28" t="n">
        <f aca="false">SUM(AQ47,AQ141)</f>
        <v>0</v>
      </c>
      <c r="G217" s="29"/>
      <c r="H217" s="28"/>
      <c r="I217" s="29"/>
      <c r="J217" s="28"/>
      <c r="K217" s="16"/>
      <c r="L217" s="16"/>
      <c r="M217" s="16"/>
      <c r="N217" s="16"/>
      <c r="O217" s="16"/>
      <c r="P217" s="16"/>
      <c r="Q217" s="16"/>
      <c r="R217" s="16"/>
      <c r="S217" s="16"/>
      <c r="T217" s="16"/>
      <c r="U217" s="16"/>
      <c r="V217" s="36"/>
      <c r="W217" s="36"/>
      <c r="X217" s="36"/>
      <c r="Y217" s="36"/>
      <c r="Z217" s="36"/>
      <c r="AA217" s="16"/>
      <c r="AB217" s="16"/>
      <c r="AC217" s="31" t="str">
        <f aca="false">IF(Y217&lt;=Z217,"I","E")</f>
        <v>I</v>
      </c>
      <c r="AD217" s="31" t="str">
        <f aca="false">IF(Z217&lt;=AA217,"I","E")</f>
        <v>I</v>
      </c>
      <c r="AE217" s="31" t="str">
        <f aca="false">IF(AA217&lt;=AB217,"I","E")</f>
        <v>I</v>
      </c>
      <c r="AF217" s="31" t="str">
        <f aca="false">IF(AB217&lt;=AC217,"I","E")</f>
        <v>I</v>
      </c>
      <c r="AG217" s="16"/>
    </row>
    <row r="218" customFormat="false" ht="15.5" hidden="false" customHeight="false" outlineLevel="0" collapsed="false">
      <c r="A218" s="16"/>
      <c r="B218" s="16"/>
      <c r="C218" s="24"/>
      <c r="D218" s="25"/>
      <c r="E218" s="26" t="n">
        <f aca="false">SUM(AP49,AP143)</f>
        <v>0</v>
      </c>
      <c r="F218" s="25"/>
      <c r="G218" s="26"/>
      <c r="H218" s="25"/>
      <c r="I218" s="26"/>
      <c r="J218" s="25"/>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row>
    <row r="219" customFormat="false" ht="15.5" hidden="false" customHeight="false" outlineLevel="0" collapsed="false">
      <c r="A219" s="16"/>
      <c r="B219" s="16"/>
      <c r="C219" s="24"/>
      <c r="D219" s="25"/>
      <c r="E219" s="26"/>
      <c r="F219" s="25"/>
      <c r="G219" s="26"/>
      <c r="H219" s="25"/>
      <c r="I219" s="26"/>
      <c r="J219" s="25"/>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row>
    <row r="220" customFormat="false" ht="15" hidden="false" customHeight="true" outlineLevel="0" collapsed="false">
      <c r="A220" s="16"/>
      <c r="B220" s="16"/>
      <c r="C220" s="27"/>
      <c r="D220" s="28"/>
      <c r="E220" s="29"/>
      <c r="F220" s="28"/>
      <c r="G220" s="29"/>
      <c r="H220" s="28"/>
      <c r="I220" s="29"/>
      <c r="J220" s="28" t="n">
        <f aca="false">SUM(AU55,AU149)</f>
        <v>0</v>
      </c>
      <c r="K220" s="16"/>
      <c r="L220" s="16"/>
      <c r="M220" s="16"/>
      <c r="N220" s="16"/>
      <c r="O220" s="16"/>
      <c r="P220" s="16"/>
      <c r="Q220" s="16"/>
      <c r="R220" s="16"/>
      <c r="S220" s="16"/>
      <c r="T220" s="16"/>
      <c r="U220" s="34" t="s">
        <v>416</v>
      </c>
      <c r="V220" s="34"/>
      <c r="W220" s="34"/>
      <c r="X220" s="34"/>
      <c r="Y220" s="34"/>
      <c r="Z220" s="34"/>
      <c r="AA220" s="34"/>
      <c r="AB220" s="34"/>
      <c r="AC220" s="34"/>
      <c r="AD220" s="16"/>
      <c r="AE220" s="16"/>
      <c r="AF220" s="16"/>
      <c r="AG220" s="16"/>
    </row>
    <row r="221" customFormat="false" ht="15" hidden="false" customHeight="true" outlineLevel="0" collapsed="false">
      <c r="A221" s="16"/>
      <c r="B221" s="16"/>
      <c r="C221" s="24"/>
      <c r="D221" s="25"/>
      <c r="E221" s="26"/>
      <c r="F221" s="25"/>
      <c r="G221" s="26"/>
      <c r="H221" s="25"/>
      <c r="I221" s="26" t="n">
        <f aca="false">SUM(AT57,AT151)</f>
        <v>0</v>
      </c>
      <c r="J221" s="25"/>
      <c r="K221" s="16"/>
      <c r="L221" s="16"/>
      <c r="M221" s="16"/>
      <c r="N221" s="16"/>
      <c r="O221" s="16"/>
      <c r="P221" s="16"/>
      <c r="Q221" s="16"/>
      <c r="R221" s="16"/>
      <c r="S221" s="16"/>
      <c r="T221" s="16"/>
      <c r="U221" s="34"/>
      <c r="V221" s="34"/>
      <c r="W221" s="34"/>
      <c r="X221" s="34"/>
      <c r="Y221" s="34"/>
      <c r="Z221" s="34"/>
      <c r="AA221" s="34"/>
      <c r="AB221" s="34"/>
      <c r="AC221" s="34"/>
      <c r="AD221" s="16"/>
      <c r="AE221" s="16"/>
      <c r="AF221" s="16"/>
      <c r="AG221" s="16"/>
    </row>
    <row r="222" customFormat="false" ht="15" hidden="false" customHeight="true" outlineLevel="0" collapsed="false">
      <c r="A222" s="16"/>
      <c r="B222" s="16"/>
      <c r="C222" s="24"/>
      <c r="D222" s="25"/>
      <c r="E222" s="26"/>
      <c r="F222" s="25"/>
      <c r="G222" s="26"/>
      <c r="H222" s="25"/>
      <c r="I222" s="26"/>
      <c r="J222" s="25"/>
      <c r="K222" s="16"/>
      <c r="L222" s="16"/>
      <c r="M222" s="16"/>
      <c r="N222" s="16"/>
      <c r="O222" s="16"/>
      <c r="P222" s="16"/>
      <c r="Q222" s="16"/>
      <c r="R222" s="16"/>
      <c r="S222" s="16"/>
      <c r="T222" s="16"/>
      <c r="U222" s="16"/>
      <c r="V222" s="16"/>
      <c r="W222" s="16"/>
      <c r="X222" s="35"/>
      <c r="Y222" s="35"/>
      <c r="Z222" s="35"/>
      <c r="AA222" s="35"/>
      <c r="AB222" s="35"/>
      <c r="AC222" s="35"/>
      <c r="AD222" s="16"/>
      <c r="AE222" s="16"/>
      <c r="AF222" s="16"/>
      <c r="AG222" s="16"/>
    </row>
    <row r="223" customFormat="false" ht="15" hidden="false" customHeight="true" outlineLevel="0" collapsed="false">
      <c r="A223" s="16"/>
      <c r="B223" s="16"/>
      <c r="C223" s="24" t="n">
        <f aca="false">SUM(AN62)</f>
        <v>0</v>
      </c>
      <c r="D223" s="25"/>
      <c r="E223" s="26"/>
      <c r="F223" s="25"/>
      <c r="G223" s="26"/>
      <c r="H223" s="25"/>
      <c r="I223" s="26"/>
      <c r="J223" s="25"/>
      <c r="K223" s="16"/>
      <c r="L223" s="16"/>
      <c r="M223" s="16"/>
      <c r="N223" s="16"/>
      <c r="O223" s="16"/>
      <c r="P223" s="16"/>
      <c r="Q223" s="16"/>
      <c r="R223" s="16"/>
      <c r="S223" s="16"/>
      <c r="T223" s="16"/>
      <c r="U223" s="16"/>
      <c r="V223" s="16"/>
      <c r="W223" s="16"/>
      <c r="X223" s="37" t="s">
        <v>417</v>
      </c>
      <c r="Y223" s="37"/>
      <c r="Z223" s="35"/>
      <c r="AA223" s="35"/>
      <c r="AB223" s="35"/>
      <c r="AC223" s="38" t="s">
        <v>418</v>
      </c>
      <c r="AD223" s="39" t="s">
        <v>419</v>
      </c>
      <c r="AE223" s="40" t="s">
        <v>420</v>
      </c>
      <c r="AF223" s="40" t="s">
        <v>421</v>
      </c>
      <c r="AG223" s="16"/>
    </row>
    <row r="224" customFormat="false" ht="15" hidden="false" customHeight="true" outlineLevel="0" collapsed="false">
      <c r="A224" s="16"/>
      <c r="B224" s="16"/>
      <c r="C224" s="24"/>
      <c r="D224" s="25" t="n">
        <f aca="false">SUM(AO64)</f>
        <v>0</v>
      </c>
      <c r="E224" s="26"/>
      <c r="F224" s="25"/>
      <c r="G224" s="26"/>
      <c r="H224" s="25"/>
      <c r="I224" s="26"/>
      <c r="J224" s="25"/>
      <c r="K224" s="16"/>
      <c r="L224" s="16"/>
      <c r="M224" s="16"/>
      <c r="N224" s="16"/>
      <c r="O224" s="16"/>
      <c r="P224" s="16"/>
      <c r="Q224" s="16"/>
      <c r="R224" s="16"/>
      <c r="S224" s="16"/>
      <c r="T224" s="16"/>
      <c r="U224" s="16"/>
      <c r="V224" s="16"/>
      <c r="W224" s="16"/>
      <c r="X224" s="37"/>
      <c r="Y224" s="37"/>
      <c r="Z224" s="35"/>
      <c r="AA224" s="35"/>
      <c r="AB224" s="35"/>
      <c r="AC224" s="38"/>
      <c r="AD224" s="39"/>
      <c r="AE224" s="40"/>
      <c r="AF224" s="40"/>
      <c r="AG224" s="16"/>
    </row>
    <row r="225" customFormat="false" ht="15" hidden="false" customHeight="true" outlineLevel="0" collapsed="false">
      <c r="A225" s="16"/>
      <c r="B225" s="16"/>
      <c r="C225" s="24"/>
      <c r="D225" s="25"/>
      <c r="E225" s="26"/>
      <c r="F225" s="25"/>
      <c r="G225" s="26"/>
      <c r="H225" s="25"/>
      <c r="I225" s="26"/>
      <c r="J225" s="25"/>
      <c r="K225" s="16"/>
      <c r="L225" s="16"/>
      <c r="M225" s="16"/>
      <c r="N225" s="16"/>
      <c r="O225" s="16"/>
      <c r="P225" s="16"/>
      <c r="Q225" s="16"/>
      <c r="R225" s="16"/>
      <c r="S225" s="16"/>
      <c r="T225" s="16"/>
      <c r="U225" s="16"/>
      <c r="V225" s="16"/>
      <c r="W225" s="16"/>
      <c r="X225" s="37"/>
      <c r="Y225" s="37"/>
      <c r="Z225" s="35"/>
      <c r="AA225" s="35"/>
      <c r="AB225" s="35"/>
      <c r="AC225" s="38"/>
      <c r="AD225" s="39"/>
      <c r="AE225" s="40"/>
      <c r="AF225" s="40"/>
      <c r="AG225" s="16"/>
    </row>
    <row r="226" customFormat="false" ht="15" hidden="false" customHeight="true" outlineLevel="0" collapsed="false">
      <c r="A226" s="16"/>
      <c r="B226" s="16"/>
      <c r="C226" s="27"/>
      <c r="D226" s="28"/>
      <c r="E226" s="29"/>
      <c r="F226" s="28"/>
      <c r="G226" s="29" t="n">
        <f aca="false">SUM(AR70)</f>
        <v>0</v>
      </c>
      <c r="H226" s="28"/>
      <c r="I226" s="29"/>
      <c r="J226" s="28"/>
      <c r="K226" s="16"/>
      <c r="L226" s="16"/>
      <c r="M226" s="16"/>
      <c r="N226" s="16"/>
      <c r="O226" s="16"/>
      <c r="P226" s="16"/>
      <c r="Q226" s="16"/>
      <c r="R226" s="16"/>
      <c r="S226" s="16"/>
      <c r="T226" s="16"/>
      <c r="U226" s="16"/>
      <c r="V226" s="16"/>
      <c r="W226" s="16"/>
      <c r="X226" s="37"/>
      <c r="Y226" s="37"/>
      <c r="Z226" s="35"/>
      <c r="AA226" s="35"/>
      <c r="AB226" s="35"/>
      <c r="AC226" s="38"/>
      <c r="AD226" s="39"/>
      <c r="AE226" s="40"/>
      <c r="AF226" s="40"/>
      <c r="AG226" s="16"/>
    </row>
    <row r="227" customFormat="false" ht="15" hidden="false" customHeight="true" outlineLevel="0" collapsed="false">
      <c r="A227" s="16"/>
      <c r="B227" s="16"/>
      <c r="C227" s="24"/>
      <c r="D227" s="25"/>
      <c r="E227" s="26"/>
      <c r="F227" s="25"/>
      <c r="G227" s="26"/>
      <c r="H227" s="25" t="n">
        <f aca="false">SUM(AS72)</f>
        <v>0</v>
      </c>
      <c r="I227" s="26"/>
      <c r="J227" s="25"/>
      <c r="K227" s="16"/>
      <c r="L227" s="16"/>
      <c r="M227" s="16"/>
      <c r="N227" s="16"/>
      <c r="O227" s="16"/>
      <c r="P227" s="16"/>
      <c r="Q227" s="16"/>
      <c r="R227" s="16"/>
      <c r="S227" s="16"/>
      <c r="T227" s="16"/>
      <c r="U227" s="16"/>
      <c r="V227" s="16"/>
      <c r="W227" s="16"/>
      <c r="X227" s="37"/>
      <c r="Y227" s="37"/>
      <c r="Z227" s="35"/>
      <c r="AA227" s="35"/>
      <c r="AB227" s="35"/>
      <c r="AC227" s="38"/>
      <c r="AD227" s="39"/>
      <c r="AE227" s="40"/>
      <c r="AF227" s="40"/>
      <c r="AG227" s="16"/>
    </row>
    <row r="228" customFormat="false" ht="15" hidden="false" customHeight="true" outlineLevel="0" collapsed="false">
      <c r="A228" s="16"/>
      <c r="B228" s="16"/>
      <c r="C228" s="24"/>
      <c r="D228" s="25"/>
      <c r="E228" s="26"/>
      <c r="F228" s="25"/>
      <c r="G228" s="26"/>
      <c r="H228" s="25"/>
      <c r="I228" s="26"/>
      <c r="J228" s="25"/>
      <c r="K228" s="16"/>
      <c r="L228" s="16"/>
      <c r="M228" s="16"/>
      <c r="N228" s="16"/>
      <c r="O228" s="16"/>
      <c r="P228" s="16"/>
      <c r="Q228" s="16"/>
      <c r="R228" s="16"/>
      <c r="S228" s="16"/>
      <c r="T228" s="16"/>
      <c r="U228" s="16"/>
      <c r="V228" s="16"/>
      <c r="W228" s="16"/>
      <c r="X228" s="37"/>
      <c r="Y228" s="37"/>
      <c r="Z228" s="16"/>
      <c r="AA228" s="16"/>
      <c r="AB228" s="16"/>
      <c r="AC228" s="38"/>
      <c r="AD228" s="39"/>
      <c r="AE228" s="40"/>
      <c r="AF228" s="40"/>
      <c r="AG228" s="16"/>
    </row>
    <row r="229" customFormat="false" ht="15" hidden="false" customHeight="true" outlineLevel="0" collapsed="false">
      <c r="A229" s="16"/>
      <c r="B229" s="16"/>
      <c r="C229" s="27"/>
      <c r="D229" s="28"/>
      <c r="E229" s="29" t="n">
        <f aca="false">SUM(AP78,AP172)</f>
        <v>0</v>
      </c>
      <c r="F229" s="28"/>
      <c r="G229" s="29"/>
      <c r="H229" s="28"/>
      <c r="I229" s="29"/>
      <c r="J229" s="28"/>
      <c r="K229" s="16"/>
      <c r="L229" s="16"/>
      <c r="M229" s="16"/>
      <c r="N229" s="16"/>
      <c r="O229" s="16"/>
      <c r="P229" s="16"/>
      <c r="Q229" s="16"/>
      <c r="R229" s="16"/>
      <c r="S229" s="16"/>
      <c r="T229" s="16"/>
      <c r="U229" s="16"/>
      <c r="V229" s="16"/>
      <c r="W229" s="16"/>
      <c r="X229" s="37"/>
      <c r="Y229" s="37"/>
      <c r="Z229" s="16"/>
      <c r="AA229" s="16"/>
      <c r="AB229" s="16"/>
      <c r="AC229" s="38"/>
      <c r="AD229" s="39"/>
      <c r="AE229" s="40"/>
      <c r="AF229" s="40"/>
      <c r="AG229" s="16"/>
    </row>
    <row r="230" customFormat="false" ht="15" hidden="false" customHeight="true" outlineLevel="0" collapsed="false">
      <c r="A230" s="16"/>
      <c r="B230" s="16"/>
      <c r="C230" s="24"/>
      <c r="D230" s="25"/>
      <c r="E230" s="26"/>
      <c r="F230" s="25" t="n">
        <f aca="false">SUM(AQ79,AQ173)</f>
        <v>0</v>
      </c>
      <c r="G230" s="26"/>
      <c r="H230" s="25"/>
      <c r="I230" s="26"/>
      <c r="J230" s="25"/>
      <c r="K230" s="16"/>
      <c r="L230" s="16"/>
      <c r="M230" s="16"/>
      <c r="N230" s="16"/>
      <c r="O230" s="16"/>
      <c r="P230" s="16"/>
      <c r="Q230" s="16"/>
      <c r="R230" s="16"/>
      <c r="S230" s="16"/>
      <c r="T230" s="16"/>
      <c r="U230" s="16"/>
      <c r="V230" s="16"/>
      <c r="W230" s="16"/>
      <c r="X230" s="37"/>
      <c r="Y230" s="37"/>
      <c r="Z230" s="16"/>
      <c r="AA230" s="16"/>
      <c r="AB230" s="16"/>
      <c r="AC230" s="38"/>
      <c r="AD230" s="39"/>
      <c r="AE230" s="40"/>
      <c r="AF230" s="40"/>
      <c r="AG230" s="16"/>
    </row>
    <row r="231" customFormat="false" ht="15" hidden="false" customHeight="true" outlineLevel="0" collapsed="false">
      <c r="A231" s="16"/>
      <c r="B231" s="16"/>
      <c r="C231" s="27"/>
      <c r="D231" s="28"/>
      <c r="E231" s="29"/>
      <c r="F231" s="28"/>
      <c r="G231" s="29" t="n">
        <f aca="false">SUM(AR81,AR175)</f>
        <v>0</v>
      </c>
      <c r="H231" s="28"/>
      <c r="I231" s="29"/>
      <c r="J231" s="28"/>
      <c r="K231" s="16"/>
      <c r="L231" s="16"/>
      <c r="M231" s="16"/>
      <c r="N231" s="16"/>
      <c r="O231" s="16"/>
      <c r="P231" s="16"/>
      <c r="Q231" s="16"/>
      <c r="R231" s="16"/>
      <c r="S231" s="16"/>
      <c r="T231" s="16"/>
      <c r="U231" s="16"/>
      <c r="V231" s="16"/>
      <c r="W231" s="16"/>
      <c r="X231" s="37"/>
      <c r="Y231" s="37"/>
      <c r="Z231" s="16"/>
      <c r="AA231" s="16"/>
      <c r="AB231" s="16"/>
      <c r="AC231" s="38"/>
      <c r="AD231" s="39"/>
      <c r="AE231" s="40"/>
      <c r="AF231" s="40"/>
      <c r="AG231" s="16"/>
    </row>
    <row r="232" customFormat="false" ht="15" hidden="false" customHeight="true" outlineLevel="0" collapsed="false">
      <c r="A232" s="16"/>
      <c r="B232" s="16"/>
      <c r="C232" s="24"/>
      <c r="D232" s="25"/>
      <c r="E232" s="26"/>
      <c r="F232" s="25"/>
      <c r="G232" s="26"/>
      <c r="H232" s="25" t="n">
        <f aca="false">SUM(AS82,AS176)</f>
        <v>0</v>
      </c>
      <c r="I232" s="26"/>
      <c r="J232" s="25"/>
      <c r="K232" s="16"/>
      <c r="L232" s="16"/>
      <c r="M232" s="16"/>
      <c r="N232" s="16"/>
      <c r="O232" s="16"/>
      <c r="P232" s="16"/>
      <c r="Q232" s="16"/>
      <c r="R232" s="16"/>
      <c r="S232" s="16"/>
      <c r="T232" s="16"/>
      <c r="U232" s="16"/>
      <c r="V232" s="16"/>
      <c r="W232" s="16"/>
      <c r="X232" s="37"/>
      <c r="Y232" s="37"/>
      <c r="Z232" s="16"/>
      <c r="AA232" s="16"/>
      <c r="AB232" s="16"/>
      <c r="AC232" s="38"/>
      <c r="AD232" s="39"/>
      <c r="AE232" s="40"/>
      <c r="AF232" s="40"/>
      <c r="AG232" s="16"/>
    </row>
    <row r="233" customFormat="false" ht="15" hidden="false" customHeight="true" outlineLevel="0" collapsed="false">
      <c r="A233" s="16"/>
      <c r="B233" s="16"/>
      <c r="C233" s="27"/>
      <c r="D233" s="28"/>
      <c r="E233" s="29"/>
      <c r="F233" s="28"/>
      <c r="G233" s="29"/>
      <c r="H233" s="28"/>
      <c r="I233" s="29" t="n">
        <f aca="false">SUM(AT84,AT178)</f>
        <v>0</v>
      </c>
      <c r="J233" s="28"/>
      <c r="K233" s="16"/>
      <c r="L233" s="16"/>
      <c r="M233" s="16"/>
      <c r="N233" s="16"/>
      <c r="O233" s="16"/>
      <c r="P233" s="16"/>
      <c r="Q233" s="16"/>
      <c r="R233" s="16"/>
      <c r="S233" s="16"/>
      <c r="T233" s="16"/>
      <c r="U233" s="16"/>
      <c r="V233" s="16"/>
      <c r="W233" s="16"/>
      <c r="X233" s="37"/>
      <c r="Y233" s="37"/>
      <c r="Z233" s="16"/>
      <c r="AA233" s="16"/>
      <c r="AB233" s="16"/>
      <c r="AC233" s="31" t="str">
        <f aca="false">AC216</f>
        <v>I</v>
      </c>
      <c r="AD233" s="31" t="n">
        <f aca="false">IF(V200&gt;Y200,V200-Y200,Y200-V200)</f>
        <v>0</v>
      </c>
      <c r="AE233" s="31" t="n">
        <f aca="false">AD233*2</f>
        <v>0</v>
      </c>
      <c r="AF233" s="31" t="n">
        <f aca="false">IF(AC233="E",AE233-1,AE233+1)</f>
        <v>1</v>
      </c>
      <c r="AG233" s="16"/>
    </row>
    <row r="234" customFormat="false" ht="15.5" hidden="false" customHeight="false" outlineLevel="0" collapsed="false">
      <c r="A234" s="16"/>
      <c r="B234" s="16"/>
      <c r="C234" s="24"/>
      <c r="D234" s="25"/>
      <c r="E234" s="26"/>
      <c r="F234" s="25"/>
      <c r="G234" s="26"/>
      <c r="H234" s="25"/>
      <c r="I234" s="26"/>
      <c r="J234" s="25" t="n">
        <f aca="false">SUM(AU85,AU179)</f>
        <v>0</v>
      </c>
      <c r="K234" s="16"/>
      <c r="L234" s="16"/>
      <c r="M234" s="16"/>
      <c r="N234" s="16"/>
      <c r="O234" s="16"/>
      <c r="P234" s="16"/>
      <c r="Q234" s="16"/>
      <c r="R234" s="16"/>
      <c r="S234" s="16"/>
      <c r="T234" s="16"/>
      <c r="U234" s="16"/>
      <c r="V234" s="16"/>
      <c r="W234" s="16"/>
      <c r="X234" s="37"/>
      <c r="Y234" s="37"/>
      <c r="Z234" s="16"/>
      <c r="AA234" s="16"/>
      <c r="AB234" s="16"/>
      <c r="AC234" s="31"/>
      <c r="AD234" s="31"/>
      <c r="AE234" s="31"/>
      <c r="AF234" s="31"/>
      <c r="AG234" s="16"/>
    </row>
    <row r="235" customFormat="false" ht="15" hidden="false" customHeight="true" outlineLevel="0" collapsed="false">
      <c r="A235" s="16"/>
      <c r="B235" s="16"/>
      <c r="C235" s="27"/>
      <c r="D235" s="28"/>
      <c r="E235" s="29"/>
      <c r="F235" s="28" t="n">
        <f aca="false">SUM(AQ87,AQ181)</f>
        <v>0</v>
      </c>
      <c r="G235" s="29"/>
      <c r="H235" s="28"/>
      <c r="I235" s="29"/>
      <c r="J235" s="28"/>
      <c r="K235" s="16"/>
      <c r="L235" s="16"/>
      <c r="M235" s="16"/>
      <c r="N235" s="16"/>
      <c r="O235" s="16"/>
      <c r="P235" s="16"/>
      <c r="Q235" s="16"/>
      <c r="R235" s="16"/>
      <c r="S235" s="16"/>
      <c r="T235" s="16"/>
      <c r="U235" s="16"/>
      <c r="V235" s="16"/>
      <c r="W235" s="16"/>
      <c r="X235" s="37"/>
      <c r="Y235" s="37"/>
      <c r="Z235" s="16"/>
      <c r="AA235" s="16"/>
      <c r="AB235" s="16"/>
      <c r="AC235" s="31" t="str">
        <f aca="false">AD216</f>
        <v>N</v>
      </c>
      <c r="AD235" s="31" t="n">
        <f aca="false">IF(V203&gt;Y203,V203-Y203,Y203-V203)</f>
        <v>0</v>
      </c>
      <c r="AE235" s="31" t="n">
        <f aca="false">AD235*2</f>
        <v>0</v>
      </c>
      <c r="AF235" s="31" t="n">
        <f aca="false">IF(AC235="S",AE235-1,AE235+1)</f>
        <v>1</v>
      </c>
      <c r="AG235" s="16"/>
    </row>
    <row r="236" customFormat="false" ht="15" hidden="false" customHeight="true" outlineLevel="0" collapsed="false">
      <c r="A236" s="16"/>
      <c r="B236" s="16"/>
      <c r="C236" s="24"/>
      <c r="D236" s="25"/>
      <c r="E236" s="26" t="n">
        <f aca="false">SUM(AP88,AP182)</f>
        <v>0</v>
      </c>
      <c r="F236" s="25"/>
      <c r="G236" s="26"/>
      <c r="H236" s="25"/>
      <c r="I236" s="26"/>
      <c r="J236" s="25"/>
      <c r="K236" s="16"/>
      <c r="L236" s="16"/>
      <c r="M236" s="16"/>
      <c r="N236" s="16"/>
      <c r="O236" s="16"/>
      <c r="P236" s="16"/>
      <c r="Q236" s="16"/>
      <c r="R236" s="16"/>
      <c r="S236" s="16"/>
      <c r="T236" s="16"/>
      <c r="U236" s="16"/>
      <c r="V236" s="16"/>
      <c r="W236" s="16"/>
      <c r="X236" s="37"/>
      <c r="Y236" s="37"/>
      <c r="Z236" s="16"/>
      <c r="AA236" s="16"/>
      <c r="AB236" s="16"/>
      <c r="AC236" s="31"/>
      <c r="AD236" s="31"/>
      <c r="AE236" s="31"/>
      <c r="AF236" s="31"/>
      <c r="AG236" s="16"/>
    </row>
    <row r="237" customFormat="false" ht="15" hidden="false" customHeight="true" outlineLevel="0" collapsed="false">
      <c r="A237" s="16"/>
      <c r="B237" s="16"/>
      <c r="C237" s="27"/>
      <c r="D237" s="28"/>
      <c r="E237" s="29"/>
      <c r="F237" s="28"/>
      <c r="G237" s="29"/>
      <c r="H237" s="28" t="n">
        <f aca="false">SUM(AS90,AS184)</f>
        <v>0</v>
      </c>
      <c r="I237" s="29"/>
      <c r="J237" s="28"/>
      <c r="K237" s="16"/>
      <c r="L237" s="16"/>
      <c r="M237" s="16"/>
      <c r="N237" s="16"/>
      <c r="O237" s="16"/>
      <c r="P237" s="16"/>
      <c r="Q237" s="16"/>
      <c r="R237" s="16"/>
      <c r="S237" s="16"/>
      <c r="T237" s="16"/>
      <c r="U237" s="16"/>
      <c r="V237" s="16"/>
      <c r="W237" s="16"/>
      <c r="X237" s="37"/>
      <c r="Y237" s="37"/>
      <c r="Z237" s="16"/>
      <c r="AA237" s="16"/>
      <c r="AB237" s="16"/>
      <c r="AC237" s="31" t="str">
        <f aca="false">AE216</f>
        <v>T</v>
      </c>
      <c r="AD237" s="31" t="n">
        <f aca="false">IF(V206&gt;Y206,V206-Y206,Y206-V206)</f>
        <v>1</v>
      </c>
      <c r="AE237" s="31" t="n">
        <f aca="false">AD237*2</f>
        <v>2</v>
      </c>
      <c r="AF237" s="31" t="n">
        <f aca="false">IF(AC237="T",AE237-1,AE237+1)</f>
        <v>1</v>
      </c>
      <c r="AG237" s="16"/>
    </row>
    <row r="238" customFormat="false" ht="15" hidden="false" customHeight="true" outlineLevel="0" collapsed="false">
      <c r="A238" s="16"/>
      <c r="B238" s="16"/>
      <c r="C238" s="24"/>
      <c r="D238" s="25"/>
      <c r="E238" s="26"/>
      <c r="F238" s="25"/>
      <c r="G238" s="26" t="n">
        <f aca="false">SUM(AR91,AR185)</f>
        <v>0</v>
      </c>
      <c r="H238" s="25"/>
      <c r="I238" s="26"/>
      <c r="J238" s="25"/>
      <c r="K238" s="16"/>
      <c r="L238" s="16"/>
      <c r="M238" s="16"/>
      <c r="N238" s="16"/>
      <c r="O238" s="16"/>
      <c r="P238" s="16"/>
      <c r="Q238" s="16"/>
      <c r="R238" s="16"/>
      <c r="S238" s="16"/>
      <c r="T238" s="16"/>
      <c r="U238" s="16"/>
      <c r="V238" s="16"/>
      <c r="W238" s="16"/>
      <c r="X238" s="37"/>
      <c r="Y238" s="37"/>
      <c r="Z238" s="16"/>
      <c r="AA238" s="16"/>
      <c r="AB238" s="16"/>
      <c r="AC238" s="31"/>
      <c r="AD238" s="31"/>
      <c r="AE238" s="31"/>
      <c r="AF238" s="31"/>
      <c r="AG238" s="16"/>
    </row>
    <row r="239" customFormat="false" ht="15" hidden="false" customHeight="true" outlineLevel="0" collapsed="false">
      <c r="A239" s="16"/>
      <c r="B239" s="16"/>
      <c r="C239" s="27" t="n">
        <f aca="false">SUM(AN93,AN187)</f>
        <v>0</v>
      </c>
      <c r="D239" s="28"/>
      <c r="E239" s="29"/>
      <c r="F239" s="28"/>
      <c r="G239" s="29"/>
      <c r="H239" s="28"/>
      <c r="I239" s="29"/>
      <c r="J239" s="28"/>
      <c r="K239" s="16"/>
      <c r="L239" s="16"/>
      <c r="M239" s="16"/>
      <c r="N239" s="16"/>
      <c r="O239" s="16"/>
      <c r="P239" s="16"/>
      <c r="Q239" s="16"/>
      <c r="R239" s="16"/>
      <c r="S239" s="16"/>
      <c r="T239" s="16"/>
      <c r="U239" s="16"/>
      <c r="V239" s="16"/>
      <c r="W239" s="16"/>
      <c r="X239" s="37"/>
      <c r="Y239" s="37"/>
      <c r="Z239" s="16"/>
      <c r="AA239" s="16"/>
      <c r="AB239" s="16"/>
      <c r="AC239" s="31" t="str">
        <f aca="false">AF216</f>
        <v>P</v>
      </c>
      <c r="AD239" s="31" t="n">
        <f aca="false">IF(V209&gt;Y209,V209-Y209,Y209-V209)</f>
        <v>0</v>
      </c>
      <c r="AE239" s="31" t="n">
        <f aca="false">AD239*2</f>
        <v>0</v>
      </c>
      <c r="AF239" s="31" t="n">
        <f aca="false">IF(AC239="J",AE239-1,AE239+1)</f>
        <v>1</v>
      </c>
      <c r="AG239" s="16"/>
    </row>
    <row r="240" customFormat="false" ht="15.75" hidden="false" customHeight="true" outlineLevel="0" collapsed="false">
      <c r="A240" s="16"/>
      <c r="B240" s="16"/>
      <c r="C240" s="41"/>
      <c r="D240" s="42" t="n">
        <f aca="false">SUM(AO94,AO188)</f>
        <v>0</v>
      </c>
      <c r="E240" s="43"/>
      <c r="F240" s="42"/>
      <c r="G240" s="43"/>
      <c r="H240" s="42"/>
      <c r="I240" s="43"/>
      <c r="J240" s="42"/>
      <c r="K240" s="16"/>
      <c r="L240" s="16"/>
      <c r="M240" s="16"/>
      <c r="N240" s="16"/>
      <c r="O240" s="16"/>
      <c r="P240" s="16"/>
      <c r="Q240" s="16"/>
      <c r="R240" s="16"/>
      <c r="S240" s="16"/>
      <c r="T240" s="16"/>
      <c r="U240" s="16"/>
      <c r="V240" s="16"/>
      <c r="W240" s="16"/>
      <c r="X240" s="37"/>
      <c r="Y240" s="37"/>
      <c r="Z240" s="16"/>
      <c r="AA240" s="16"/>
      <c r="AB240" s="16"/>
      <c r="AC240" s="31"/>
      <c r="AD240" s="31"/>
      <c r="AE240" s="31"/>
      <c r="AF240" s="31"/>
      <c r="AG240" s="16"/>
    </row>
    <row r="241" customFormat="false" ht="16" hidden="false" customHeight="false" outlineLevel="0" collapsed="false">
      <c r="A241" s="16"/>
      <c r="B241" s="16"/>
      <c r="C241" s="44" t="n">
        <f aca="false">SUM(C198:C240)</f>
        <v>0</v>
      </c>
      <c r="D241" s="45" t="n">
        <f aca="false">SUM(D198:D240)</f>
        <v>0</v>
      </c>
      <c r="E241" s="46" t="n">
        <f aca="false">SUM(E198:E240)</f>
        <v>0</v>
      </c>
      <c r="F241" s="45" t="n">
        <f aca="false">SUM(F198:F240)</f>
        <v>0</v>
      </c>
      <c r="G241" s="46" t="n">
        <f aca="false">SUM(G198:G240)</f>
        <v>1</v>
      </c>
      <c r="H241" s="45" t="n">
        <f aca="false">SUM(H198:H240)</f>
        <v>0</v>
      </c>
      <c r="I241" s="46" t="n">
        <f aca="false">SUM(I198:I240)</f>
        <v>0</v>
      </c>
      <c r="J241" s="45" t="n">
        <f aca="false">SUM(J198:J240)</f>
        <v>0</v>
      </c>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row>
    <row r="242" customFormat="false" ht="15.5" hidden="false" customHeight="false" outlineLevel="0" collapsed="false">
      <c r="A242" s="16"/>
      <c r="B242" s="16"/>
      <c r="C242" s="5" t="s">
        <v>8</v>
      </c>
      <c r="D242" s="5" t="s">
        <v>9</v>
      </c>
      <c r="E242" s="5" t="s">
        <v>10</v>
      </c>
      <c r="F242" s="5" t="s">
        <v>11</v>
      </c>
      <c r="G242" s="5" t="s">
        <v>12</v>
      </c>
      <c r="H242" s="5" t="s">
        <v>13</v>
      </c>
      <c r="I242" s="5" t="s">
        <v>14</v>
      </c>
      <c r="J242" s="5" t="s">
        <v>15</v>
      </c>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row>
    <row r="243" customFormat="false" ht="15.5" hidden="false" customHeight="false" outlineLevel="0" collapsed="false">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row>
    <row r="244" customFormat="false" ht="15.5" hidden="false" customHeight="false" outlineLevel="0" collapsed="false">
      <c r="U244" s="16"/>
      <c r="V244" s="16"/>
      <c r="W244" s="16"/>
      <c r="X244" s="16"/>
      <c r="Y244" s="16"/>
      <c r="Z244" s="16"/>
      <c r="AA244" s="16"/>
      <c r="AB244" s="16"/>
      <c r="AC244" s="16"/>
      <c r="AD244" s="16"/>
      <c r="AE244" s="16"/>
      <c r="AF244" s="16"/>
      <c r="AG244" s="16"/>
    </row>
    <row r="245" customFormat="false" ht="15.5" hidden="false" customHeight="false" outlineLevel="0" collapsed="false">
      <c r="U245" s="16"/>
      <c r="X245" s="16"/>
      <c r="Y245" s="16"/>
      <c r="Z245" s="16"/>
      <c r="AA245" s="16"/>
      <c r="AB245" s="16"/>
      <c r="AC245" s="16"/>
      <c r="AD245" s="16"/>
      <c r="AE245" s="16"/>
      <c r="AF245" s="16"/>
    </row>
    <row r="246" customFormat="false" ht="15.5" hidden="false" customHeight="false" outlineLevel="0" collapsed="false">
      <c r="X246" s="16"/>
      <c r="Y246" s="16"/>
      <c r="Z246" s="16"/>
      <c r="AA246" s="16"/>
      <c r="AB246" s="16"/>
      <c r="AC246" s="16"/>
      <c r="AD246" s="16"/>
      <c r="AE246" s="16"/>
      <c r="AF246" s="16"/>
    </row>
    <row r="247" customFormat="false" ht="15.5" hidden="false" customHeight="false" outlineLevel="0" collapsed="false">
      <c r="X247" s="16"/>
      <c r="Y247" s="16"/>
      <c r="Z247" s="16"/>
      <c r="AA247" s="16"/>
      <c r="AB247" s="16"/>
      <c r="AC247" s="16"/>
      <c r="AD247" s="16"/>
      <c r="AE247" s="16"/>
      <c r="AF247" s="16"/>
    </row>
    <row r="248" customFormat="false" ht="15.5" hidden="false" customHeight="false" outlineLevel="0" collapsed="false">
      <c r="X248" s="16"/>
      <c r="Y248" s="16"/>
      <c r="Z248" s="16"/>
      <c r="AA248" s="16"/>
      <c r="AB248" s="16"/>
      <c r="AC248" s="16"/>
      <c r="AD248" s="16"/>
      <c r="AE248" s="16"/>
      <c r="AF248" s="16"/>
    </row>
    <row r="249" customFormat="false" ht="15.5" hidden="false" customHeight="false" outlineLevel="0" collapsed="false">
      <c r="X249" s="16"/>
      <c r="Y249" s="16"/>
      <c r="Z249" s="16"/>
      <c r="AA249" s="16"/>
      <c r="AB249" s="16"/>
      <c r="AC249" s="16"/>
      <c r="AD249" s="16"/>
      <c r="AE249" s="16"/>
      <c r="AF249" s="16"/>
    </row>
    <row r="250" customFormat="false" ht="15.5" hidden="false" customHeight="false" outlineLevel="0" collapsed="false">
      <c r="X250" s="16"/>
      <c r="Y250" s="16"/>
      <c r="Z250" s="16"/>
      <c r="AA250" s="16"/>
      <c r="AB250" s="16"/>
      <c r="AC250" s="16"/>
      <c r="AD250" s="16"/>
      <c r="AE250" s="16"/>
      <c r="AF250" s="16"/>
    </row>
    <row r="251" customFormat="false" ht="15.5" hidden="false" customHeight="false" outlineLevel="0" collapsed="false">
      <c r="X251" s="16"/>
      <c r="Y251" s="16"/>
      <c r="Z251" s="16"/>
      <c r="AA251" s="16"/>
      <c r="AB251" s="16"/>
      <c r="AC251" s="16"/>
      <c r="AD251" s="16"/>
      <c r="AE251" s="16"/>
      <c r="AF251" s="16"/>
    </row>
    <row r="252" customFormat="false" ht="15.5" hidden="false" customHeight="false" outlineLevel="0" collapsed="false">
      <c r="X252" s="16"/>
      <c r="Y252" s="16"/>
      <c r="Z252" s="16"/>
      <c r="AA252" s="16"/>
      <c r="AB252" s="16"/>
      <c r="AC252" s="16"/>
      <c r="AD252" s="16"/>
      <c r="AE252" s="16"/>
      <c r="AF252" s="16"/>
    </row>
  </sheetData>
  <sheetProtection sheet="true" password="ca2d" objects="true" scenarios="true"/>
  <mergeCells count="56">
    <mergeCell ref="A1:AG1"/>
    <mergeCell ref="A2:AG2"/>
    <mergeCell ref="A75:AG75"/>
    <mergeCell ref="A76:AG76"/>
    <mergeCell ref="A95:AG95"/>
    <mergeCell ref="A96:AG96"/>
    <mergeCell ref="A169:AG169"/>
    <mergeCell ref="A170:AG170"/>
    <mergeCell ref="A190:AG190"/>
    <mergeCell ref="U195:AC195"/>
    <mergeCell ref="V197:W199"/>
    <mergeCell ref="Y197:Z199"/>
    <mergeCell ref="R200:U201"/>
    <mergeCell ref="V200:W201"/>
    <mergeCell ref="Y200:Z201"/>
    <mergeCell ref="AA200:AE201"/>
    <mergeCell ref="R203:U204"/>
    <mergeCell ref="V203:W204"/>
    <mergeCell ref="Y203:Z204"/>
    <mergeCell ref="AA203:AE204"/>
    <mergeCell ref="R206:U207"/>
    <mergeCell ref="V206:W207"/>
    <mergeCell ref="Y206:Z207"/>
    <mergeCell ref="AA206:AE207"/>
    <mergeCell ref="R209:U210"/>
    <mergeCell ref="V209:W210"/>
    <mergeCell ref="Y209:Z210"/>
    <mergeCell ref="AA209:AE210"/>
    <mergeCell ref="U213:AC214"/>
    <mergeCell ref="V216:Z217"/>
    <mergeCell ref="AC216:AC217"/>
    <mergeCell ref="AD216:AD217"/>
    <mergeCell ref="AE216:AE217"/>
    <mergeCell ref="AF216:AF217"/>
    <mergeCell ref="U220:AC221"/>
    <mergeCell ref="X223:Y240"/>
    <mergeCell ref="AC223:AC232"/>
    <mergeCell ref="AD223:AD232"/>
    <mergeCell ref="AE223:AE232"/>
    <mergeCell ref="AF223:AF232"/>
    <mergeCell ref="AC233:AC234"/>
    <mergeCell ref="AD233:AD234"/>
    <mergeCell ref="AE233:AE234"/>
    <mergeCell ref="AF233:AF234"/>
    <mergeCell ref="AC235:AC236"/>
    <mergeCell ref="AD235:AD236"/>
    <mergeCell ref="AE235:AE236"/>
    <mergeCell ref="AF235:AF236"/>
    <mergeCell ref="AC237:AC238"/>
    <mergeCell ref="AD237:AD238"/>
    <mergeCell ref="AE237:AE238"/>
    <mergeCell ref="AF237:AF238"/>
    <mergeCell ref="AC239:AC240"/>
    <mergeCell ref="AD239:AD240"/>
    <mergeCell ref="AE239:AE240"/>
    <mergeCell ref="AF239:AF240"/>
  </mergeCells>
  <dataValidations count="1">
    <dataValidation allowBlank="true" errorStyle="stop" operator="between" showDropDown="false" showErrorMessage="true" showInputMessage="false" sqref="B6 P6 X6 B8 P8 X8 B12 P12 X12 B14 P14 X14 B19 P19 X19 B21 P21 X21 B26 P26 X26 B28 P28 X28 B33 P33 X33 B35 P35 X35 B40 P40 X40 B42 P42:P43 X42:X43 B47 P47 X47 B49 P49 X49 B55 P55 X55 B57 P57 X57 B62 P62 X62 B64 P64:P65 X64 B70 B72 B78:B79 L78:L79 T78:T79 AB78:AB79 B81:B82 L81:L82 T81:T82 AB81:AB82 B84:B85 L84:L85 T84:T85 AB84:AB85 B87:B88 L87:L88 T87:T88 AB87:AB88 B90:B91 L90:L91 T90:T91 AB90:AB91 B93:B94 L93:L94 T93:T94 AB93:AB94 B100 P100 X100 B102 P102 X102 B106 P106 X106 B108 P108 X108 B113 P113 X113 B115 P115 X115 B120 X120 B122 X122 B127 P127 X127 B129 P129 X129 B134 P134 X134 B136 P136 X136 B141 P141 B143 P143 B149 P149 B151 P151:P152 B153 B172:B173 L172:L173 T172:T173 AB172:AB173 B175:B176 L175:L176 T175:T176 AB175:AB176 B178:B179 L178:L179 T178:T179 AB178:AB179 B181:B182 L181:L182 T181:T182 B184:B185 L184:L185 T184:T185 AB184:AB185 B187:B188 L187:L188" type="whole">
      <formula1>1</formula1>
      <formula2>1</formula2>
    </dataValidation>
  </dataValidations>
  <printOptions headings="false" gridLines="false" gridLinesSet="true" horizontalCentered="false" verticalCentered="false"/>
  <pageMargins left="0.354166666666667" right="0.354166666666667" top="0.590277777777778" bottom="0.590277777777778" header="0.511811023622047" footer="0.511811023622047"/>
  <pageSetup paperSize="9" scale="63" fitToWidth="1" fitToHeight="1" pageOrder="downThenOver" orientation="portrait" blackAndWhite="false" draft="false" cellComments="none" horizontalDpi="300" verticalDpi="300" copies="1"/>
  <headerFooter differentFirst="false" differentOddEven="false">
    <oddHeader/>
    <oddFooter/>
  </headerFooter>
  <rowBreaks count="2" manualBreakCount="2">
    <brk id="94" man="true" max="16383" min="0"/>
    <brk id="188" man="true" max="16383" min="0"/>
  </rowBreaks>
  <colBreaks count="1" manualBreakCount="1">
    <brk id="47"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L26" activeCellId="0" sqref="L26"/>
    </sheetView>
  </sheetViews>
  <sheetFormatPr defaultColWidth="9.171875" defaultRowHeight="12.5" customHeight="true" zeroHeight="false" outlineLevelRow="0" outlineLevelCol="0"/>
  <cols>
    <col collapsed="false" customWidth="true" hidden="false" outlineLevel="0" max="19" min="1" style="47" width="4.72"/>
    <col collapsed="false" customWidth="true" hidden="false" outlineLevel="0" max="20" min="20" style="47" width="7.72"/>
    <col collapsed="false" customWidth="false" hidden="false" outlineLevel="0" max="257" min="21" style="47" width="9.17"/>
  </cols>
  <sheetData>
    <row r="1" customFormat="false" ht="12.5" hidden="false" customHeight="false" outlineLevel="0" collapsed="false">
      <c r="J1" s="48"/>
      <c r="K1" s="48"/>
      <c r="L1" s="48"/>
      <c r="M1" s="48"/>
      <c r="N1" s="48"/>
      <c r="O1" s="48"/>
      <c r="P1" s="48"/>
      <c r="Q1" s="48"/>
      <c r="R1" s="48"/>
      <c r="S1" s="48"/>
    </row>
    <row r="8" customFormat="false" ht="13" hidden="false" customHeight="false" outlineLevel="0" collapsed="false">
      <c r="A8" s="47" t="s">
        <v>422</v>
      </c>
      <c r="E8" s="49"/>
      <c r="F8" s="49"/>
      <c r="G8" s="49"/>
      <c r="H8" s="49"/>
      <c r="I8" s="49"/>
      <c r="J8" s="49"/>
      <c r="K8" s="49"/>
      <c r="L8" s="49"/>
      <c r="M8" s="49"/>
      <c r="N8" s="49"/>
    </row>
    <row r="9" customFormat="false" ht="13" hidden="false" customHeight="false" outlineLevel="0" collapsed="false">
      <c r="E9" s="50"/>
      <c r="F9" s="50"/>
      <c r="G9" s="50"/>
      <c r="H9" s="50"/>
      <c r="I9" s="50"/>
      <c r="J9" s="50"/>
      <c r="K9" s="50"/>
      <c r="L9" s="50"/>
      <c r="M9" s="50"/>
      <c r="N9" s="50"/>
    </row>
    <row r="10" customFormat="false" ht="12.5" hidden="false" customHeight="false" outlineLevel="0" collapsed="false">
      <c r="A10" s="47" t="s">
        <v>423</v>
      </c>
    </row>
    <row r="12" customFormat="false" ht="12.5" hidden="false" customHeight="false" outlineLevel="0" collapsed="false">
      <c r="A12" s="47" t="s">
        <v>424</v>
      </c>
    </row>
    <row r="13" customFormat="false" ht="12.5" hidden="false" customHeight="false" outlineLevel="0" collapsed="false">
      <c r="A13" s="47" t="s">
        <v>425</v>
      </c>
    </row>
    <row r="14" customFormat="false" ht="8.15" hidden="false" customHeight="true" outlineLevel="0" collapsed="false"/>
    <row r="15" customFormat="false" ht="12.5" hidden="false" customHeight="false" outlineLevel="0" collapsed="false">
      <c r="A15" s="47" t="s">
        <v>426</v>
      </c>
    </row>
    <row r="16" customFormat="false" ht="8.15" hidden="false" customHeight="true" outlineLevel="0" collapsed="false"/>
    <row r="17" customFormat="false" ht="13" hidden="false" customHeight="false" outlineLevel="0" collapsed="false">
      <c r="A17" s="51" t="s">
        <v>427</v>
      </c>
      <c r="F17" s="47" t="s">
        <v>428</v>
      </c>
    </row>
    <row r="18" customFormat="false" ht="8.15" hidden="false" customHeight="true" outlineLevel="0" collapsed="false"/>
    <row r="19" customFormat="false" ht="13" hidden="false" customHeight="false" outlineLevel="0" collapsed="false">
      <c r="B19" s="51" t="s">
        <v>429</v>
      </c>
      <c r="C19" s="51" t="s">
        <v>430</v>
      </c>
      <c r="F19" s="52" t="s">
        <v>431</v>
      </c>
    </row>
    <row r="20" customFormat="false" ht="12.5" hidden="false" customHeight="false" outlineLevel="0" collapsed="false">
      <c r="F20" s="47" t="s">
        <v>432</v>
      </c>
    </row>
    <row r="21" customFormat="false" ht="12.5" hidden="false" customHeight="false" outlineLevel="0" collapsed="false">
      <c r="F21" s="47" t="s">
        <v>433</v>
      </c>
    </row>
    <row r="22" customFormat="false" ht="8.15" hidden="false" customHeight="true" outlineLevel="0" collapsed="false"/>
    <row r="23" customFormat="false" ht="13" hidden="false" customHeight="false" outlineLevel="0" collapsed="false">
      <c r="B23" s="51" t="s">
        <v>85</v>
      </c>
      <c r="C23" s="51" t="s">
        <v>434</v>
      </c>
      <c r="F23" s="52" t="s">
        <v>435</v>
      </c>
    </row>
    <row r="24" customFormat="false" ht="12.5" hidden="false" customHeight="false" outlineLevel="0" collapsed="false">
      <c r="F24" s="47" t="s">
        <v>436</v>
      </c>
    </row>
    <row r="25" customFormat="false" ht="12.5" hidden="false" customHeight="false" outlineLevel="0" collapsed="false">
      <c r="F25" s="47" t="s">
        <v>437</v>
      </c>
    </row>
    <row r="26" customFormat="false" ht="8.15" hidden="false" customHeight="true" outlineLevel="0" collapsed="false"/>
    <row r="27" customFormat="false" ht="13" hidden="false" customHeight="false" outlineLevel="0" collapsed="false">
      <c r="A27" s="51" t="s">
        <v>438</v>
      </c>
      <c r="F27" s="47" t="s">
        <v>439</v>
      </c>
    </row>
    <row r="28" customFormat="false" ht="8.15" hidden="false" customHeight="true" outlineLevel="0" collapsed="false"/>
    <row r="29" customFormat="false" ht="13" hidden="false" customHeight="false" outlineLevel="0" collapsed="false">
      <c r="B29" s="51" t="s">
        <v>34</v>
      </c>
      <c r="C29" s="51" t="s">
        <v>440</v>
      </c>
      <c r="F29" s="52" t="s">
        <v>441</v>
      </c>
    </row>
    <row r="30" customFormat="false" ht="12.5" hidden="false" customHeight="false" outlineLevel="0" collapsed="false">
      <c r="F30" s="47" t="s">
        <v>442</v>
      </c>
    </row>
    <row r="31" customFormat="false" ht="12.5" hidden="false" customHeight="false" outlineLevel="0" collapsed="false">
      <c r="F31" s="47" t="s">
        <v>443</v>
      </c>
    </row>
    <row r="32" customFormat="false" ht="8.15" hidden="false" customHeight="true" outlineLevel="0" collapsed="false"/>
    <row r="33" customFormat="false" ht="13" hidden="false" customHeight="false" outlineLevel="0" collapsed="false">
      <c r="B33" s="51" t="s">
        <v>444</v>
      </c>
      <c r="C33" s="51" t="s">
        <v>445</v>
      </c>
      <c r="F33" s="52" t="s">
        <v>446</v>
      </c>
    </row>
    <row r="34" customFormat="false" ht="12.5" hidden="false" customHeight="false" outlineLevel="0" collapsed="false">
      <c r="F34" s="47" t="s">
        <v>447</v>
      </c>
    </row>
    <row r="35" customFormat="false" ht="12.5" hidden="false" customHeight="false" outlineLevel="0" collapsed="false">
      <c r="F35" s="47" t="s">
        <v>448</v>
      </c>
    </row>
    <row r="36" customFormat="false" ht="8.15" hidden="false" customHeight="true" outlineLevel="0" collapsed="false"/>
    <row r="37" customFormat="false" ht="13" hidden="false" customHeight="false" outlineLevel="0" collapsed="false">
      <c r="A37" s="51" t="s">
        <v>449</v>
      </c>
      <c r="F37" s="47" t="s">
        <v>450</v>
      </c>
    </row>
    <row r="38" customFormat="false" ht="8.15" hidden="false" customHeight="true" outlineLevel="0" collapsed="false"/>
    <row r="39" customFormat="false" ht="13" hidden="false" customHeight="false" outlineLevel="0" collapsed="false">
      <c r="B39" s="51" t="s">
        <v>55</v>
      </c>
      <c r="C39" s="51" t="s">
        <v>451</v>
      </c>
      <c r="F39" s="52" t="s">
        <v>452</v>
      </c>
    </row>
    <row r="40" customFormat="false" ht="12.5" hidden="false" customHeight="false" outlineLevel="0" collapsed="false">
      <c r="F40" s="47" t="s">
        <v>453</v>
      </c>
    </row>
    <row r="41" customFormat="false" ht="12.5" hidden="false" customHeight="false" outlineLevel="0" collapsed="false">
      <c r="F41" s="47" t="s">
        <v>454</v>
      </c>
    </row>
    <row r="42" customFormat="false" ht="8.15" hidden="false" customHeight="true" outlineLevel="0" collapsed="false"/>
    <row r="43" customFormat="false" ht="13" hidden="false" customHeight="false" outlineLevel="0" collapsed="false">
      <c r="B43" s="51" t="s">
        <v>50</v>
      </c>
      <c r="C43" s="51" t="s">
        <v>455</v>
      </c>
      <c r="F43" s="52" t="s">
        <v>456</v>
      </c>
    </row>
    <row r="44" customFormat="false" ht="12.5" hidden="false" customHeight="false" outlineLevel="0" collapsed="false">
      <c r="F44" s="47" t="s">
        <v>453</v>
      </c>
    </row>
    <row r="45" customFormat="false" ht="12.5" hidden="false" customHeight="false" outlineLevel="0" collapsed="false">
      <c r="F45" s="47" t="s">
        <v>457</v>
      </c>
    </row>
    <row r="46" customFormat="false" ht="8.15" hidden="false" customHeight="true" outlineLevel="0" collapsed="false"/>
    <row r="47" customFormat="false" ht="13" hidden="false" customHeight="false" outlineLevel="0" collapsed="false">
      <c r="A47" s="51" t="s">
        <v>458</v>
      </c>
      <c r="F47" s="47" t="s">
        <v>459</v>
      </c>
    </row>
    <row r="48" customFormat="false" ht="8.15" hidden="false" customHeight="true" outlineLevel="0" collapsed="false"/>
    <row r="49" customFormat="false" ht="13" hidden="false" customHeight="false" outlineLevel="0" collapsed="false">
      <c r="B49" s="51" t="s">
        <v>68</v>
      </c>
      <c r="C49" s="51" t="s">
        <v>460</v>
      </c>
      <c r="F49" s="52" t="s">
        <v>461</v>
      </c>
    </row>
    <row r="50" customFormat="false" ht="12.5" hidden="false" customHeight="false" outlineLevel="0" collapsed="false">
      <c r="F50" s="47" t="s">
        <v>462</v>
      </c>
    </row>
    <row r="51" customFormat="false" ht="8.15" hidden="false" customHeight="true" outlineLevel="0" collapsed="false"/>
    <row r="52" customFormat="false" ht="13" hidden="false" customHeight="false" outlineLevel="0" collapsed="false">
      <c r="B52" s="51" t="s">
        <v>74</v>
      </c>
      <c r="C52" s="51" t="s">
        <v>463</v>
      </c>
      <c r="F52" s="52" t="s">
        <v>464</v>
      </c>
    </row>
    <row r="53" customFormat="false" ht="12.5" hidden="false" customHeight="false" outlineLevel="0" collapsed="false">
      <c r="F53" s="47" t="s">
        <v>465</v>
      </c>
    </row>
    <row r="54" customFormat="false" ht="8.15" hidden="false" customHeight="true" outlineLevel="0" collapsed="false"/>
    <row r="55" customFormat="false" ht="8.15" hidden="false" customHeight="true" outlineLevel="0" collapsed="false"/>
    <row r="56" customFormat="false" ht="12.5" hidden="false" customHeight="false" outlineLevel="0" collapsed="false">
      <c r="A56" s="47" t="s">
        <v>466</v>
      </c>
    </row>
    <row r="57" customFormat="false" ht="12.5" hidden="false" customHeight="false" outlineLevel="0" collapsed="false">
      <c r="A57" s="47" t="s">
        <v>467</v>
      </c>
      <c r="G57" s="47" t="s">
        <v>468</v>
      </c>
    </row>
    <row r="58" customFormat="false" ht="12.5" hidden="false" customHeight="false" outlineLevel="0" collapsed="false">
      <c r="A58" s="47" t="s">
        <v>469</v>
      </c>
      <c r="G58" s="47" t="s">
        <v>470</v>
      </c>
    </row>
    <row r="59" customFormat="false" ht="12.5" hidden="false" customHeight="false" outlineLevel="0" collapsed="false">
      <c r="A59" s="47" t="s">
        <v>471</v>
      </c>
      <c r="G59" s="47" t="s">
        <v>472</v>
      </c>
    </row>
    <row r="60" customFormat="false" ht="12.5" hidden="false" customHeight="false" outlineLevel="0" collapsed="false">
      <c r="A60" s="47" t="s">
        <v>473</v>
      </c>
      <c r="G60" s="47" t="s">
        <v>474</v>
      </c>
    </row>
    <row r="61" customFormat="false" ht="8.15" hidden="false" customHeight="true" outlineLevel="0" collapsed="false"/>
    <row r="62" customFormat="false" ht="12.75" hidden="false" customHeight="true" outlineLevel="0" collapsed="false">
      <c r="A62" s="51" t="s">
        <v>475</v>
      </c>
      <c r="I62" s="53" t="str">
        <f aca="false">Man!AC216</f>
        <v>I</v>
      </c>
      <c r="J62" s="54" t="n">
        <f aca="false">IF(Man!AF233&lt;=9,1,IF(Man!AF233&lt;=19,2,IF(Man!AF233&lt;=39,3,4)))</f>
        <v>1</v>
      </c>
      <c r="K62" s="53" t="str">
        <f aca="false">Man!AD216</f>
        <v>N</v>
      </c>
      <c r="L62" s="54" t="n">
        <f aca="false">IF(Man!AF235&lt;=9,1,IF(Man!AF235&lt;=19,2,IF(Man!AF235&lt;=39,3,4)))</f>
        <v>1</v>
      </c>
      <c r="M62" s="53" t="str">
        <f aca="false">Man!AE216</f>
        <v>T</v>
      </c>
      <c r="N62" s="54" t="n">
        <f aca="false">IF((M62="T")*AND(Man!AF237&lt;=9),1,IF((M62="T")*AND(Man!AF237&lt;=19),2,IF((M62="T")*AND(Man!AF237&lt;=39),3,IF((M62="T")*AND(Man!AF237&gt;39),4,IF((M62="F")*AND(Man!AF237&lt;=9),1,IF((M62="F")*AND(Man!AF237&lt;=19),2,IF((M62="F")*AND(Man!AF237&lt;=31),3,4)))))))</f>
        <v>1</v>
      </c>
      <c r="O62" s="53" t="str">
        <f aca="false">Man!AF216</f>
        <v>P</v>
      </c>
      <c r="P62" s="54" t="n">
        <f aca="false">IF(Man!AF239&lt;=9,1,IF(Man!AF239&lt;=19,2,IF(Man!AF239&lt;=39,3,4)))</f>
        <v>1</v>
      </c>
    </row>
    <row r="63" customFormat="false" ht="12.75" hidden="false" customHeight="true" outlineLevel="0" collapsed="false">
      <c r="I63" s="53"/>
      <c r="K63" s="53"/>
      <c r="M63" s="53"/>
      <c r="O63" s="53"/>
    </row>
    <row r="64" customFormat="false" ht="15" hidden="false" customHeight="true" outlineLevel="0" collapsed="false"/>
    <row r="65" customFormat="false" ht="12.5" hidden="false" customHeight="false" outlineLevel="0" collapsed="false">
      <c r="H65" s="55"/>
      <c r="I65" s="55"/>
      <c r="K65" s="55"/>
      <c r="M65" s="55"/>
      <c r="O65" s="55"/>
    </row>
    <row r="66" customFormat="false" ht="12.5" hidden="false" customHeight="false" outlineLevel="0" collapsed="false">
      <c r="H66" s="55"/>
      <c r="I66" s="55"/>
      <c r="K66" s="55"/>
      <c r="M66" s="55"/>
      <c r="O66" s="55"/>
    </row>
  </sheetData>
  <sheetProtection sheet="true" password="ca2d" objects="true" scenarios="true"/>
  <mergeCells count="6">
    <mergeCell ref="J1:S1"/>
    <mergeCell ref="E8:N8"/>
    <mergeCell ref="I62:I63"/>
    <mergeCell ref="K62:K63"/>
    <mergeCell ref="M62:M63"/>
    <mergeCell ref="O62:O63"/>
  </mergeCells>
  <dataValidations count="1">
    <dataValidation allowBlank="true" errorStyle="stop" operator="between" prompt="Vul hier de naam van de deelnemer in. &quot;Voornaam&quot; eerst, daarna &quot;FAMILIENAAM&quot;." promptTitle="NAAM" showDropDown="false" showErrorMessage="true" showInputMessage="true" sqref="E8:N9" type="none">
      <formula1>0</formula1>
      <formula2>0</formula2>
    </dataValidation>
  </dataValidations>
  <printOptions headings="false" gridLines="false" gridLinesSet="true" horizontalCentered="false" verticalCentered="false"/>
  <pageMargins left="0.7875" right="0.590277777777778"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79"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1998-10-14T08:38:11Z</dcterms:created>
  <dc:creator>Jouret</dc:creator>
  <dc:description/>
  <dc:language>en-US</dc:language>
  <cp:lastModifiedBy>Robin De Bont</cp:lastModifiedBy>
  <cp:lastPrinted>1998-10-27T15:57:20Z</cp:lastPrinted>
  <dcterms:modified xsi:type="dcterms:W3CDTF">2017-05-09T12:04:41Z</dcterms:modified>
  <cp:revision>0</cp:revision>
  <dc:subject/>
  <dc:title/>
</cp:coreProperties>
</file>